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D:\End-to-endProject\"/>
    </mc:Choice>
  </mc:AlternateContent>
  <xr:revisionPtr revIDLastSave="0" documentId="13_ncr:1_{6E45EAA0-C590-4ECA-8FBE-25B1F1658343}" xr6:coauthVersionLast="47" xr6:coauthVersionMax="47" xr10:uidLastSave="{00000000-0000-0000-0000-000000000000}"/>
  <bookViews>
    <workbookView xWindow="-120" yWindow="-120" windowWidth="20730" windowHeight="11040" xr2:uid="{2DB46F8F-020F-46D3-BC0F-74550EDA9444}"/>
  </bookViews>
  <sheets>
    <sheet name="Pivot" sheetId="1" r:id="rId1"/>
    <sheet name="Dashboard" sheetId="2" r:id="rId2"/>
  </sheets>
  <definedNames>
    <definedName name="Slicer_CategoryName">#N/A</definedName>
    <definedName name="Slicer_EmployeeName">#N/A</definedName>
    <definedName name="Slicer_Month_Name">#N/A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s>
  <extLst>
    <ext xmlns:x14="http://schemas.microsoft.com/office/spreadsheetml/2009/9/main" uri="{876F7934-8845-4945-9796-88D515C7AA90}">
      <x14:pivotCaches>
        <pivotCache cacheId="9"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w_CategoryRevenue_42409615-7d1b-4251-88a7-a9769ccae7aa" name="vw_CategoryRevenue" connection="Query - vw_CategoryRevenue"/>
          <x15:modelTable id="vw_CustomerRevenue_022bc85f-33b0-4bea-bd64-fc1e59bb60f1" name="vw_CustomerRevenue" connection="Query - vw_CustomerRevenue"/>
          <x15:modelTable id="vw_EmployeePerformance_394c84a8-89d1-4802-a74f-c604b69c5466" name="vw_EmployeePerformance" connection="Query - vw_EmployeePerformance"/>
          <x15:modelTable id="vw_MonthlyRevenue_421ba650-47da-4a5b-9eca-8cd15f6b8ccc" name="vw_MonthlyRevenue" connection="Query - vw_MonthlyRevenue"/>
          <x15:modelTable id="vw_ProductRevenue_5380912c-73ba-4551-98ca-995c78e70b58" name="vw_ProductRevenue" connection="Query - vw_ProductRevenu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2" l="1"/>
  <c r="F6" i="2"/>
  <c r="I6" i="2"/>
  <c r="K6" i="2"/>
  <c r="B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EEE894-68EB-4879-854F-93CD3964AE83}" name="Query - vw_CategoryRevenue" description="Connection to the 'vw_CategoryRevenue' query in the workbook." type="100" refreshedVersion="7" minRefreshableVersion="5">
    <extLst>
      <ext xmlns:x15="http://schemas.microsoft.com/office/spreadsheetml/2010/11/main" uri="{DE250136-89BD-433C-8126-D09CA5730AF9}">
        <x15:connection id="fb0386e8-9a82-4b08-9b06-e71890222b62"/>
      </ext>
    </extLst>
  </connection>
  <connection id="2" xr16:uid="{34373186-C39C-4D92-B7A4-23475842DDA0}" name="Query - vw_CustomerRevenue" description="Connection to the 'vw_CustomerRevenue' query in the workbook." type="100" refreshedVersion="7" minRefreshableVersion="5">
    <extLst>
      <ext xmlns:x15="http://schemas.microsoft.com/office/spreadsheetml/2010/11/main" uri="{DE250136-89BD-433C-8126-D09CA5730AF9}">
        <x15:connection id="4da3d003-8c08-4b02-bece-cb2788e15533"/>
      </ext>
    </extLst>
  </connection>
  <connection id="3" xr16:uid="{9631671B-AC11-42EA-A906-81B83DAB61DC}" name="Query - vw_EmployeePerformance" description="Connection to the 'vw_EmployeePerformance' query in the workbook." type="100" refreshedVersion="7" minRefreshableVersion="5">
    <extLst>
      <ext xmlns:x15="http://schemas.microsoft.com/office/spreadsheetml/2010/11/main" uri="{DE250136-89BD-433C-8126-D09CA5730AF9}">
        <x15:connection id="8f852404-80fd-476e-8119-e752ceb3518a"/>
      </ext>
    </extLst>
  </connection>
  <connection id="4" xr16:uid="{49E3BF00-F3E3-4AF1-B507-10DB7107FC5E}" name="Query - vw_MonthlyRevenue" description="Connection to the 'vw_MonthlyRevenue' query in the workbook." type="100" refreshedVersion="7" minRefreshableVersion="5">
    <extLst>
      <ext xmlns:x15="http://schemas.microsoft.com/office/spreadsheetml/2010/11/main" uri="{DE250136-89BD-433C-8126-D09CA5730AF9}">
        <x15:connection id="2a3b108e-665d-498a-b3c3-c65c0c8b9fe4"/>
      </ext>
    </extLst>
  </connection>
  <connection id="5" xr16:uid="{AF711528-EB1A-4BB3-A701-E85D8C1618D9}" name="Query - vw_ProductRevenue" description="Connection to the 'vw_ProductRevenue' query in the workbook." type="100" refreshedVersion="7" minRefreshableVersion="5">
    <extLst>
      <ext xmlns:x15="http://schemas.microsoft.com/office/spreadsheetml/2010/11/main" uri="{DE250136-89BD-433C-8126-D09CA5730AF9}">
        <x15:connection id="9f0dcb15-5309-4112-990b-2d198ed75eed"/>
      </ext>
    </extLst>
  </connection>
  <connection id="6" xr16:uid="{49777267-FDEF-4A96-BC64-57F381887C8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<sst xmlns="http://schemas.openxmlformats.org/spreadsheetml/2006/main" count="64" uniqueCount="60">
  <si>
    <t>Total_Revenue</t>
  </si>
  <si>
    <t>Total_Profit</t>
  </si>
  <si>
    <t>Total_Orders</t>
  </si>
  <si>
    <t>Total_Products_Sold</t>
  </si>
  <si>
    <t>Total_Customer</t>
  </si>
  <si>
    <t>TECHMART INDIA SALES DASHBOARD</t>
  </si>
  <si>
    <t>Revenue</t>
  </si>
  <si>
    <t>Profit</t>
  </si>
  <si>
    <t>Orders</t>
  </si>
  <si>
    <t>Customers</t>
  </si>
  <si>
    <t>Product Sold</t>
  </si>
  <si>
    <t>April</t>
  </si>
  <si>
    <t>August</t>
  </si>
  <si>
    <t>December</t>
  </si>
  <si>
    <t>February</t>
  </si>
  <si>
    <t>January</t>
  </si>
  <si>
    <t>July</t>
  </si>
  <si>
    <t>June</t>
  </si>
  <si>
    <t>March</t>
  </si>
  <si>
    <t>May</t>
  </si>
  <si>
    <t>November</t>
  </si>
  <si>
    <t>October</t>
  </si>
  <si>
    <t>September</t>
  </si>
  <si>
    <t>Months</t>
  </si>
  <si>
    <t>Accessories</t>
  </si>
  <si>
    <t>Furniture</t>
  </si>
  <si>
    <t>Laptops</t>
  </si>
  <si>
    <t>Mobiles</t>
  </si>
  <si>
    <t>Monitors</t>
  </si>
  <si>
    <t>Networking</t>
  </si>
  <si>
    <t>Printers</t>
  </si>
  <si>
    <t>Storage</t>
  </si>
  <si>
    <t>Tablets</t>
  </si>
  <si>
    <t>Revenue By Category</t>
  </si>
  <si>
    <t>Monthly Revenue Trend ( ₹ Millions )</t>
  </si>
  <si>
    <t>Acer Aspire 7</t>
  </si>
  <si>
    <t>Canon Pixma G3010</t>
  </si>
  <si>
    <t>Cosmic Byte Gaming Mouse</t>
  </si>
  <si>
    <t>Dell Inspiron 15</t>
  </si>
  <si>
    <t>Epson EcoTank L3250</t>
  </si>
  <si>
    <t>HP Pavilion 15</t>
  </si>
  <si>
    <t>HP Wired Keyboard</t>
  </si>
  <si>
    <t>JBL Headphones</t>
  </si>
  <si>
    <t>Lenovo IdeaPad Slim 5</t>
  </si>
  <si>
    <t>LG UltraWide Monitor 27"</t>
  </si>
  <si>
    <t>Product Name</t>
  </si>
  <si>
    <t>Categories</t>
  </si>
  <si>
    <t>Top 10 Products by Revenue ( ₹ Millions )</t>
  </si>
  <si>
    <t>Abhishek Verma</t>
  </si>
  <si>
    <t>Aditya Kulkarni</t>
  </si>
  <si>
    <t>Aisha Khan</t>
  </si>
  <si>
    <t>Akash Sharma</t>
  </si>
  <si>
    <t>Aman Khanna</t>
  </si>
  <si>
    <t>Amit Singh</t>
  </si>
  <si>
    <t>Ananya Das</t>
  </si>
  <si>
    <t>Anjali Roy</t>
  </si>
  <si>
    <t>Arjun Mehta</t>
  </si>
  <si>
    <t>Bhavna Joshi</t>
  </si>
  <si>
    <t>Customer Name</t>
  </si>
  <si>
    <t>Top 10 Customers by Revenue ( ₹ Millions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</si>
</sst>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 #,##0"/>
  </numFmts>
  <fonts count="6" x14ac:knownFonts="1">
    <font>
      <sz val="11"/>
      <color theme="1"/>
      <name val="Calibri"/>
      <family val="2"/>
      <scheme val="minor"/>
    </font>
    <font>
      <b/>
      <sz val="20"/>
      <color theme="0"/>
      <name val="Segoe UI"/>
      <family val="2"/>
    </font>
    <font>
      <b/>
      <sz val="12"/>
      <color theme="4" tint="-0.499984740745262"/>
      <name val="Segoe UI"/>
      <family val="2"/>
    </font>
    <font>
      <b/>
      <sz val="15"/>
      <color theme="1"/>
      <name val="Segoe UI"/>
      <family val="2"/>
    </font>
    <font>
      <b/>
      <sz val="14"/>
      <color theme="0"/>
      <name val="Segoe UI"/>
      <family val="2"/>
    </font>
    <font>
      <b/>
      <sz val="14"/>
      <color theme="1"/>
      <name val="Segoe UI"/>
      <family val="2"/>
    </font>
  </fonts>
  <fills count="12">
    <fill>
      <patternFill patternType="none"/>
    </fill>
    <fill>
      <patternFill patternType="gray125"/>
    </fill>
    <fill>
      <patternFill patternType="solid">
        <fgColor theme="4" tint="-0.499984740745262"/>
        <bgColor indexed="64"/>
      </patternFill>
    </fill>
    <fill>
      <patternFill patternType="solid">
        <fgColor rgb="FFFFFF00"/>
        <bgColor indexed="64"/>
      </patternFill>
    </fill>
    <fill>
      <patternFill patternType="solid">
        <fgColor rgb="FF92D050"/>
        <bgColor indexed="64"/>
      </patternFill>
    </fill>
    <fill>
      <patternFill patternType="solid">
        <fgColor rgb="FF0070C0"/>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3" tint="0.39997558519241921"/>
        <bgColor indexed="64"/>
      </patternFill>
    </fill>
  </fills>
  <borders count="4">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0" fillId="0" borderId="0" xfId="0" applyNumberFormat="1"/>
    <xf numFmtId="2" fontId="0" fillId="0" borderId="0" xfId="0" applyNumberFormat="1"/>
    <xf numFmtId="0" fontId="0" fillId="0" borderId="0" xfId="0" applyAlignment="1">
      <alignment horizontal="center"/>
    </xf>
    <xf numFmtId="0" fontId="0" fillId="0" borderId="0" xfId="0" applyAlignment="1">
      <alignment vertical="center"/>
    </xf>
    <xf numFmtId="0" fontId="2" fillId="0" borderId="0" xfId="0" applyFont="1" applyFill="1" applyAlignment="1">
      <alignment horizontal="center" vertical="center"/>
    </xf>
    <xf numFmtId="0" fontId="2" fillId="0" borderId="0" xfId="0" applyFont="1" applyAlignment="1">
      <alignment horizontal="center" vertical="center"/>
    </xf>
    <xf numFmtId="0" fontId="0" fillId="0" borderId="1" xfId="0" applyBorder="1"/>
    <xf numFmtId="0" fontId="0" fillId="0" borderId="0" xfId="0" applyFill="1" applyAlignment="1">
      <alignment horizontal="center" vertical="center"/>
    </xf>
    <xf numFmtId="165" fontId="3" fillId="0" borderId="0" xfId="0" applyNumberFormat="1" applyFont="1" applyBorder="1" applyAlignment="1">
      <alignment horizontal="center" vertical="center"/>
    </xf>
    <xf numFmtId="0" fontId="3" fillId="0" borderId="0" xfId="0" applyFont="1" applyBorder="1" applyAlignment="1">
      <alignment horizontal="center" vertical="center"/>
    </xf>
    <xf numFmtId="0" fontId="0" fillId="0" borderId="0" xfId="0" applyBorder="1" applyAlignment="1">
      <alignment vertical="center"/>
    </xf>
    <xf numFmtId="0" fontId="0" fillId="0" borderId="0" xfId="0" applyBorder="1"/>
    <xf numFmtId="0" fontId="4" fillId="2" borderId="0" xfId="0" applyNumberFormat="1" applyFont="1" applyFill="1" applyBorder="1" applyAlignment="1">
      <alignment horizontal="center" vertical="center"/>
    </xf>
    <xf numFmtId="0" fontId="4" fillId="2" borderId="2" xfId="0" applyNumberFormat="1" applyFont="1" applyFill="1" applyBorder="1" applyAlignment="1">
      <alignment horizontal="center" vertical="center"/>
    </xf>
    <xf numFmtId="0" fontId="4" fillId="2" borderId="0" xfId="0" applyFont="1" applyFill="1" applyAlignment="1">
      <alignment horizontal="center" vertical="center"/>
    </xf>
    <xf numFmtId="0" fontId="5" fillId="2" borderId="0" xfId="0" applyFont="1" applyFill="1" applyAlignment="1">
      <alignment horizontal="center" vertical="center"/>
    </xf>
    <xf numFmtId="0" fontId="1" fillId="2" borderId="0" xfId="0" applyFont="1" applyFill="1" applyAlignment="1">
      <alignment horizontal="center" vertical="center"/>
    </xf>
    <xf numFmtId="0" fontId="4" fillId="2" borderId="0"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0" xfId="0" applyFont="1" applyFill="1" applyBorder="1" applyAlignment="1">
      <alignment horizontal="center" vertical="center"/>
    </xf>
    <xf numFmtId="164" fontId="0" fillId="3" borderId="0" xfId="0" applyNumberFormat="1" applyFill="1"/>
    <xf numFmtId="0" fontId="0" fillId="4" borderId="0" xfId="0" applyNumberFormat="1" applyFill="1"/>
    <xf numFmtId="0" fontId="0" fillId="5" borderId="0" xfId="0" applyNumberFormat="1" applyFill="1"/>
    <xf numFmtId="0" fontId="0" fillId="6" borderId="0" xfId="0" applyNumberFormat="1" applyFill="1"/>
    <xf numFmtId="0" fontId="0" fillId="7" borderId="3" xfId="0" applyFill="1" applyBorder="1"/>
    <xf numFmtId="165" fontId="0" fillId="7" borderId="3" xfId="0" applyNumberFormat="1" applyFill="1" applyBorder="1"/>
    <xf numFmtId="0" fontId="0" fillId="0" borderId="3" xfId="0" applyBorder="1" applyAlignment="1">
      <alignment horizontal="left"/>
    </xf>
    <xf numFmtId="165" fontId="0" fillId="0" borderId="3" xfId="0" applyNumberFormat="1" applyBorder="1"/>
    <xf numFmtId="0" fontId="0" fillId="8" borderId="3" xfId="0" applyFill="1" applyBorder="1"/>
    <xf numFmtId="1" fontId="0" fillId="8" borderId="3" xfId="0" applyNumberFormat="1" applyFill="1" applyBorder="1"/>
    <xf numFmtId="1" fontId="0" fillId="0" borderId="3" xfId="0" applyNumberFormat="1" applyBorder="1"/>
    <xf numFmtId="0" fontId="0" fillId="9" borderId="3" xfId="0" applyFill="1" applyBorder="1"/>
    <xf numFmtId="1" fontId="0" fillId="9" borderId="3" xfId="0" applyNumberFormat="1" applyFill="1" applyBorder="1"/>
    <xf numFmtId="164" fontId="0" fillId="10" borderId="0" xfId="0" applyNumberFormat="1" applyFill="1"/>
    <xf numFmtId="0" fontId="0" fillId="11" borderId="3" xfId="0" applyFill="1" applyBorder="1"/>
    <xf numFmtId="1" fontId="0" fillId="11" borderId="3" xfId="0" applyNumberFormat="1" applyFill="1" applyBorder="1"/>
  </cellXfs>
  <cellStyles count="1">
    <cellStyle name="Normal" xfId="0" builtinId="0"/>
  </cellStyles>
  <dxfs count="64">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bgColor theme="5" tint="0.79998168889431442"/>
        </patternFill>
      </fill>
    </dxf>
    <dxf>
      <fill>
        <patternFill patternType="solid">
          <bgColor theme="4" tint="-0.249977111117893"/>
        </patternFill>
      </fill>
    </dxf>
    <dxf>
      <fill>
        <patternFill patternType="solid">
          <bgColor rgb="FF0070C0"/>
        </patternFill>
      </fill>
    </dxf>
    <dxf>
      <fill>
        <patternFill patternType="solid">
          <bgColor rgb="FF92D050"/>
        </patternFill>
      </fill>
    </dxf>
    <dxf>
      <fill>
        <patternFill patternType="solid">
          <bgColor rgb="FFFFFF00"/>
        </patternFill>
      </fill>
    </dxf>
    <dxf>
      <numFmt numFmtId="164" formatCode="&quot;₹&quot;\ #,##0.00"/>
    </dxf>
    <dxf>
      <numFmt numFmtId="164" formatCode="&quot;₹&quot;\ #,##0.00"/>
    </dxf>
    <dxf>
      <numFmt numFmtId="1" formatCode="0"/>
    </dxf>
    <dxf>
      <numFmt numFmtId="1" formatCode="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1" formatCode="0"/>
    </dxf>
    <dxf>
      <numFmt numFmtId="0" formatCode="General"/>
    </dxf>
    <dxf>
      <numFmt numFmtId="2" formatCode="0.00"/>
    </dxf>
    <dxf>
      <numFmt numFmtId="2" formatCode="0.00"/>
    </dxf>
    <dxf>
      <numFmt numFmtId="165" formatCode="&quot;₹&quot;\ #,##0"/>
    </dxf>
    <dxf>
      <numFmt numFmtId="165" formatCode="&quot;₹&quot;\ #,##0"/>
    </dxf>
    <dxf>
      <font>
        <b/>
        <i val="0"/>
        <sz val="11"/>
        <name val="Calibri"/>
        <family val="2"/>
        <scheme val="minor"/>
      </font>
      <fill>
        <patternFill>
          <bgColor theme="0"/>
        </patternFill>
      </fill>
    </dxf>
    <dxf>
      <font>
        <b/>
        <i val="0"/>
        <sz val="11"/>
        <color theme="4" tint="-0.499984740745262"/>
        <name val="Calibri"/>
        <family val="2"/>
        <scheme val="minor"/>
      </font>
      <fill>
        <patternFill>
          <bgColor theme="0"/>
        </patternFill>
      </fill>
      <border>
        <bottom style="thin">
          <color theme="4" tint="-0.499984740745262"/>
        </bottom>
      </border>
    </dxf>
  </dxfs>
  <tableStyles count="2" defaultTableStyle="TableStyleMedium2" defaultPivotStyle="PivotStyleLight16">
    <tableStyle name="Slicer Style 1" pivot="0" table="0" count="2" xr9:uid="{DD616FE4-3C06-4B10-B71B-4E85E3CC18B7}">
      <tableStyleElement type="headerRow" dxfId="63"/>
    </tableStyle>
    <tableStyle name="Slicer Style 2" pivot="0" table="0" count="4" xr9:uid="{E2C9D65F-5BC5-43FC-9AD5-3D41823444D8}">
      <tableStyleElement type="headerRow" dxfId="62"/>
    </tableStyle>
  </tableStyles>
  <extLst>
    <ext xmlns:x14="http://schemas.microsoft.com/office/spreadsheetml/2009/9/main" uri="{46F421CA-312F-682f-3DD2-61675219B42D}">
      <x14:dxfs count="4">
        <dxf>
          <fill>
            <patternFill>
              <bgColor theme="0"/>
            </patternFill>
          </fill>
        </dxf>
        <dxf>
          <font>
            <b/>
            <i val="0"/>
            <sz val="11"/>
            <color theme="0"/>
            <name val="Calibri"/>
            <family val="2"/>
            <scheme val="minor"/>
          </font>
          <fill>
            <patternFill>
              <bgColor theme="4" tint="-0.499984740745262"/>
            </patternFill>
          </fill>
        </dxf>
        <dxf>
          <fill>
            <patternFill>
              <bgColor theme="0"/>
            </patternFill>
          </fill>
        </dxf>
        <dxf>
          <font>
            <sz val="11"/>
            <color theme="1"/>
            <name val="Calibri"/>
            <family val="2"/>
            <scheme val="minor"/>
          </font>
          <fill>
            <patternFill>
              <bgColor theme="0"/>
            </patternFill>
          </fill>
          <border>
            <left style="thin">
              <color theme="4" tint="-0.499984740745262"/>
            </left>
            <right style="thin">
              <color theme="4" tint="-0.499984740745262"/>
            </right>
            <top style="thin">
              <color theme="4" tint="-0.499984740745262"/>
            </top>
            <bottom style="thin">
              <color theme="4" tint="-0.499984740745262"/>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s>
        </x14:slicerStyle>
        <x14:slicerStyle name="Slicer Style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pivotCacheDefinition" Target="pivotCache/pivotCacheDefinition1.xml"/><Relationship Id="rId21" Type="http://schemas.openxmlformats.org/officeDocument/2006/relationships/calcChain" Target="calcChain.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5" Type="http://schemas.openxmlformats.org/officeDocument/2006/relationships/pivotCacheDefinition" Target="pivotCache/pivotCacheDefinition3.xml"/><Relationship Id="rId15" Type="http://schemas.microsoft.com/office/2007/relationships/slicerCache" Target="slicerCaches/slicerCache3.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[TechMartIndia.xlsx]Pivot!PivotTable6</c:name>
    <c:fmtId val="9"/>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Pivot!$A$7:$A$18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Pivot!$B$7:$B$18</c:f>
              <c:numCache>
                <c:formatCode>0</c:formatCode>
                <c:ptCount val="12"/>
                <c:pt idx="0">
                  <c:v>2606764</c:v>
                </c:pt>
                <c:pt idx="1">
                  <c:v>2448964</c:v>
                </c:pt>
                <c:pt idx="2">
                  <c:v>2066925</c:v>
                </c:pt>
                <c:pt idx="3">
                  <c:v>862925</c:v>
                </c:pt>
                <c:pt idx="4">
                  <c:v>2593858</c:v>
                </c:pt>
                <c:pt idx="5">
                  <c:v>2313958</c:v>
                </c:pt>
                <c:pt idx="6">
                  <c:v>1982422</c:v>
                </c:pt>
                <c:pt idx="7">
                  <c:v>888122</c:v>
                </c:pt>
                <c:pt idx="8">
                  <c:v>2448764</c:v>
                </c:pt>
                <c:pt idx="9">
                  <c:v>2275964</c:v>
                </c:pt>
                <c:pt idx="10">
                  <c:v>1929928</c:v>
                </c:pt>
                <c:pt idx="11">
                  <c:v>811528</c:v>
                </c:pt>
              </c:numCache>
            </c:numRef>
          </c:val>
          <c:smooth val="0"/>
          <c:extLst>
            <c:ext xmlns:c16="http://schemas.microsoft.com/office/drawing/2014/chart" uri="{C3380CC4-5D6E-409C-BE32-E72D297353CC}">
              <c16:uniqueId val="{00000000-C841-4846-9D4D-0ACC18EF32E8}"/>
            </c:ext>
          </c:extLst>
        </c:ser>
        <c:dLbls>
          <c:showLegendKey val="0"/>
          <c:showVal val="0"/>
          <c:showCatName val="0"/>
          <c:showSerName val="0"/>
          <c:showPercent val="0"/>
          <c:showBubbleSize val="0"/>
        </c:dLbls>
        <c:marker val="1"/>
        <c:smooth val="0"/>
        <c:axId val="2023916496"/>
        <c:axId val="2023920240"/>
      </c:lineChart>
      <c:catAx>
        <c:axId val="202391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023920240"/>
        <c:crosses val="autoZero"/>
        <c:auto val="1"/>
        <c:lblAlgn val="ctr"/>
        <c:lblOffset val="100"/>
        <c:noMultiLvlLbl val="0"/>
      </c:catAx>
      <c:valAx>
        <c:axId val="20239202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023916496"/>
        <c:crosses val="autoZero"/>
        <c:crossBetween val="between"/>
        <c:dispUnits>
          <c:builtInUnit val="millions"/>
        </c:dispUnits>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[TechMartIndia.xlsx]Pivot!PivotTable7</c:name>
    <c:fmtId val="13"/>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0.30220966252730791"/>
          <c:y val="5.0121832358674456E-2"/>
          <c:w val="0.39833756995086483"/>
          <c:h val="0.89417641325536079"/>
        </c:manualLayout>
      </c:layout>
      <c:doughnutChart>
        <c:varyColors val="1"/>
        <c:ser>
          <c:idx val="0"/>
          <c:order val="0"/>
          <c:tx>
            <c:strRef>
              <c:f>Pivot!$E$6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B9-4DAF-BB63-0399D4C33E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B9-4DAF-BB63-0399D4C33E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B9-4DAF-BB63-0399D4C33E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B9-4DAF-BB63-0399D4C33E2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DB9-4DAF-BB63-0399D4C33E2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DB9-4DAF-BB63-0399D4C33E2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DB9-4DAF-BB63-0399D4C33E2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DB9-4DAF-BB63-0399D4C33E2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DB9-4DAF-BB63-0399D4C33E2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Pivot!$D$7:$D$15</c:f>
              <c:strCache>
                <c:ptCount val="9"/>
                <c:pt idx="0">
                  <c:v>Accessories</c:v>
                </c:pt>
                <c:pt idx="1">
                  <c:v>Furniture</c:v>
                </c:pt>
                <c:pt idx="2">
                  <c:v>Laptops</c:v>
                </c:pt>
                <c:pt idx="3">
                  <c:v>Mobiles</c:v>
                </c:pt>
                <c:pt idx="4">
                  <c:v>Monitors</c:v>
                </c:pt>
                <c:pt idx="5">
                  <c:v>Networking</c:v>
                </c:pt>
                <c:pt idx="6">
                  <c:v>Printers</c:v>
                </c:pt>
                <c:pt idx="7">
                  <c:v>Storage</c:v>
                </c:pt>
                <c:pt idx="8">
                  <c:v>Tablets</c:v>
                </c:pt>
              </c:strCache>
            </c:strRef>
          </c:cat>
          <c:val>
            <c:numRef>
              <c:f>Pivot!$E$7:$E$15</c:f>
              <c:numCache>
                <c:formatCode>"₹"\ #,##0</c:formatCode>
                <c:ptCount val="9"/>
                <c:pt idx="0">
                  <c:v>23230122</c:v>
                </c:pt>
                <c:pt idx="1">
                  <c:v>23230122</c:v>
                </c:pt>
                <c:pt idx="2">
                  <c:v>23230122</c:v>
                </c:pt>
                <c:pt idx="3">
                  <c:v>23230122</c:v>
                </c:pt>
                <c:pt idx="4">
                  <c:v>23230122</c:v>
                </c:pt>
                <c:pt idx="5">
                  <c:v>23230122</c:v>
                </c:pt>
                <c:pt idx="6">
                  <c:v>23230122</c:v>
                </c:pt>
                <c:pt idx="7">
                  <c:v>23230122</c:v>
                </c:pt>
                <c:pt idx="8">
                  <c:v>23230122</c:v>
                </c:pt>
              </c:numCache>
            </c:numRef>
          </c:val>
          <c:extLst>
            <c:ext xmlns:c16="http://schemas.microsoft.com/office/drawing/2014/chart" uri="{C3380CC4-5D6E-409C-BE32-E72D297353CC}">
              <c16:uniqueId val="{00000012-BDB9-4DAF-BB63-0399D4C33E20}"/>
            </c:ext>
          </c:extLst>
        </c:ser>
        <c:dLbls>
          <c:showLegendKey val="0"/>
          <c:showVal val="1"/>
          <c:showCatName val="0"/>
          <c:showSerName val="0"/>
          <c:showPercent val="0"/>
          <c:showBubbleSize val="0"/>
          <c:showLeaderLines val="0"/>
        </c:dLbls>
        <c:firstSliceAng val="0"/>
        <c:holeSize val="75"/>
      </c:doughnutChart>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[TechMartIndia.xlsx]Pivot!PivotTable8</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Pivot!$H$6</c:f>
              <c:strCache>
                <c:ptCount val="1"/>
                <c:pt idx="0">
                  <c:v>Total</c:v>
                </c:pt>
              </c:strCache>
            </c:strRef>
          </c:tx>
          <c:spPr>
            <a:solidFill>
              <a:schemeClr val="accent1"/>
            </a:solidFill>
            <a:ln>
              <a:noFill/>
            </a:ln>
            <a:effectLst/>
          </c:spPr>
          <c:invertIfNegative val="0"/>
          <c:cat>
            <c:strRef>
              <c:f>Pivot!$G$7:$G$16</c:f>
              <c:strCache>
                <c:ptCount val="10"/>
                <c:pt idx="0">
                  <c:v>Acer Aspire 7</c:v>
                </c:pt>
                <c:pt idx="1">
                  <c:v>Canon Pixma G3010</c:v>
                </c:pt>
                <c:pt idx="2">
                  <c:v>Cosmic Byte Gaming Mouse</c:v>
                </c:pt>
                <c:pt idx="3">
                  <c:v>Dell Inspiron 15</c:v>
                </c:pt>
                <c:pt idx="4">
                  <c:v>Epson EcoTank L3250</c:v>
                </c:pt>
                <c:pt idx="5">
                  <c:v>HP Pavilion 15</c:v>
                </c:pt>
                <c:pt idx="6">
                  <c:v>HP Wired Keyboard</c:v>
                </c:pt>
                <c:pt idx="7">
                  <c:v>JBL Headphones</c:v>
                </c:pt>
                <c:pt idx="8">
                  <c:v>Lenovo IdeaPad Slim 5</c:v>
                </c:pt>
                <c:pt idx="9">
                  <c:v>LG UltraWide Monitor 27"</c:v>
                </c:pt>
              </c:strCache>
            </c:strRef>
          </c:cat>
          <c:val>
            <c:numRef>
              <c:f>Pivot!$H$7:$H$16</c:f>
              <c:numCache>
                <c:formatCode>0</c:formatCode>
                <c:ptCount val="10"/>
                <c:pt idx="0">
                  <c:v>23230122</c:v>
                </c:pt>
                <c:pt idx="1">
                  <c:v>23230122</c:v>
                </c:pt>
                <c:pt idx="2">
                  <c:v>23230122</c:v>
                </c:pt>
                <c:pt idx="3">
                  <c:v>23230122</c:v>
                </c:pt>
                <c:pt idx="4">
                  <c:v>23230122</c:v>
                </c:pt>
                <c:pt idx="5">
                  <c:v>23230122</c:v>
                </c:pt>
                <c:pt idx="6">
                  <c:v>23230122</c:v>
                </c:pt>
                <c:pt idx="7">
                  <c:v>23230122</c:v>
                </c:pt>
                <c:pt idx="8">
                  <c:v>23230122</c:v>
                </c:pt>
                <c:pt idx="9">
                  <c:v>23230122</c:v>
                </c:pt>
              </c:numCache>
            </c:numRef>
          </c:val>
          <c:extLst>
            <c:ext xmlns:c16="http://schemas.microsoft.com/office/drawing/2014/chart" uri="{C3380CC4-5D6E-409C-BE32-E72D297353CC}">
              <c16:uniqueId val="{00000000-C695-4941-8906-9447AB70E794}"/>
            </c:ext>
          </c:extLst>
        </c:ser>
        <c:dLbls>
          <c:showLegendKey val="0"/>
          <c:showVal val="0"/>
          <c:showCatName val="0"/>
          <c:showSerName val="0"/>
          <c:showPercent val="0"/>
          <c:showBubbleSize val="0"/>
        </c:dLbls>
        <c:gapWidth val="182"/>
        <c:axId val="23454175"/>
        <c:axId val="23455007"/>
      </c:barChart>
      <c:catAx>
        <c:axId val="23454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3455007"/>
        <c:crosses val="autoZero"/>
        <c:auto val="1"/>
        <c:lblAlgn val="ctr"/>
        <c:lblOffset val="100"/>
        <c:noMultiLvlLbl val="0"/>
      </c:catAx>
      <c:valAx>
        <c:axId val="2345500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3454175"/>
        <c:crosses val="autoZero"/>
        <c:crossBetween val="between"/>
        <c:dispUnits>
          <c:builtInUnit val="millions"/>
        </c:dispUnits>
      </c:valAx>
      <c:spPr>
        <a:solidFill>
          <a:schemeClr val="bg1"/>
        </a:solid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[TechMartIndia.xlsx]Pivot!PivotTable9</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Pivot!$K$6</c:f>
              <c:strCache>
                <c:ptCount val="1"/>
                <c:pt idx="0">
                  <c:v>Total</c:v>
                </c:pt>
              </c:strCache>
            </c:strRef>
          </c:tx>
          <c:spPr>
            <a:solidFill>
              <a:schemeClr val="accent1"/>
            </a:solidFill>
            <a:ln>
              <a:noFill/>
            </a:ln>
            <a:effectLst/>
          </c:spPr>
          <c:invertIfNegative val="0"/>
          <c:cat>
            <c:strRef>
              <c:f>Pivot!$J$7:$J$16</c:f>
              <c:strCache>
                <c:ptCount val="10"/>
                <c:pt idx="0">
                  <c:v>Abhishek Verma</c:v>
                </c:pt>
                <c:pt idx="1">
                  <c:v>Aditya Kulkarni</c:v>
                </c:pt>
                <c:pt idx="2">
                  <c:v>Aisha Khan</c:v>
                </c:pt>
                <c:pt idx="3">
                  <c:v>Akash Sharma</c:v>
                </c:pt>
                <c:pt idx="4">
                  <c:v>Aman Khanna</c:v>
                </c:pt>
                <c:pt idx="5">
                  <c:v>Amit Singh</c:v>
                </c:pt>
                <c:pt idx="6">
                  <c:v>Ananya Das</c:v>
                </c:pt>
                <c:pt idx="7">
                  <c:v>Anjali Roy</c:v>
                </c:pt>
                <c:pt idx="8">
                  <c:v>Arjun Mehta</c:v>
                </c:pt>
                <c:pt idx="9">
                  <c:v>Bhavna Joshi</c:v>
                </c:pt>
              </c:strCache>
            </c:strRef>
          </c:cat>
          <c:val>
            <c:numRef>
              <c:f>Pivot!$K$7:$K$16</c:f>
              <c:numCache>
                <c:formatCode>0</c:formatCode>
                <c:ptCount val="10"/>
                <c:pt idx="0">
                  <c:v>23230122</c:v>
                </c:pt>
                <c:pt idx="1">
                  <c:v>23230122</c:v>
                </c:pt>
                <c:pt idx="2">
                  <c:v>23230122</c:v>
                </c:pt>
                <c:pt idx="3">
                  <c:v>23230122</c:v>
                </c:pt>
                <c:pt idx="4">
                  <c:v>23230122</c:v>
                </c:pt>
                <c:pt idx="5">
                  <c:v>23230122</c:v>
                </c:pt>
                <c:pt idx="6">
                  <c:v>23230122</c:v>
                </c:pt>
                <c:pt idx="7">
                  <c:v>23230122</c:v>
                </c:pt>
                <c:pt idx="8">
                  <c:v>23230122</c:v>
                </c:pt>
                <c:pt idx="9">
                  <c:v>23230122</c:v>
                </c:pt>
              </c:numCache>
            </c:numRef>
          </c:val>
          <c:extLst>
            <c:ext xmlns:c16="http://schemas.microsoft.com/office/drawing/2014/chart" uri="{C3380CC4-5D6E-409C-BE32-E72D297353CC}">
              <c16:uniqueId val="{00000000-531F-4891-9646-322667FB69FF}"/>
            </c:ext>
          </c:extLst>
        </c:ser>
        <c:dLbls>
          <c:showLegendKey val="0"/>
          <c:showVal val="0"/>
          <c:showCatName val="0"/>
          <c:showSerName val="0"/>
          <c:showPercent val="0"/>
          <c:showBubbleSize val="0"/>
        </c:dLbls>
        <c:gapWidth val="182"/>
        <c:axId val="535074960"/>
        <c:axId val="535075376"/>
      </c:barChart>
      <c:catAx>
        <c:axId val="535074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35075376"/>
        <c:crosses val="autoZero"/>
        <c:auto val="1"/>
        <c:lblAlgn val="ctr"/>
        <c:lblOffset val="100"/>
        <c:noMultiLvlLbl val="0"/>
      </c:catAx>
      <c:valAx>
        <c:axId val="53507537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35074960"/>
        <c:crosses val="autoZero"/>
        <c:crossBetween val="between"/>
        <c:dispUnits>
          <c:builtInUnit val="millions"/>
        </c:dispUnits>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17705</xdr:colOff>
      <xdr:row>7</xdr:row>
      <xdr:rowOff>10886</xdr:rowOff>
    </xdr:from>
    <xdr:to>
      <xdr:col>7</xdr:col>
      <xdr:colOff>7809</xdr:colOff>
      <xdr:row>16</xdr:row>
      <xdr:rowOff>147063</xdr:rowOff>
    </xdr:to>
    <xdr:graphicFrame macro="">
      <xdr:nvGraphicFramePr>
        <xdr:cNvPr id="4" name="Chart 3">
          <a:extLst>
            <a:ext uri="{FF2B5EF4-FFF2-40B4-BE49-F238E27FC236}">
              <a16:creationId xmlns:a16="http://schemas.microsoft.com/office/drawing/2014/main" id="{0CBD8624-D900-465E-8ACD-2682CF075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1730</xdr:colOff>
      <xdr:row>7</xdr:row>
      <xdr:rowOff>10886</xdr:rowOff>
    </xdr:from>
    <xdr:to>
      <xdr:col>13</xdr:col>
      <xdr:colOff>7857</xdr:colOff>
      <xdr:row>16</xdr:row>
      <xdr:rowOff>147063</xdr:rowOff>
    </xdr:to>
    <xdr:graphicFrame macro="">
      <xdr:nvGraphicFramePr>
        <xdr:cNvPr id="5" name="Chart 4">
          <a:extLst>
            <a:ext uri="{FF2B5EF4-FFF2-40B4-BE49-F238E27FC236}">
              <a16:creationId xmlns:a16="http://schemas.microsoft.com/office/drawing/2014/main" id="{94CDD58E-9BB5-4FBF-83AA-77F139CB8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10821</xdr:colOff>
      <xdr:row>19</xdr:row>
      <xdr:rowOff>10820</xdr:rowOff>
    </xdr:from>
    <xdr:to>
      <xdr:col>7</xdr:col>
      <xdr:colOff>925</xdr:colOff>
      <xdr:row>29</xdr:row>
      <xdr:rowOff>150524</xdr:rowOff>
    </xdr:to>
    <xdr:graphicFrame macro="">
      <xdr:nvGraphicFramePr>
        <xdr:cNvPr id="6" name="Chart 5">
          <a:extLst>
            <a:ext uri="{FF2B5EF4-FFF2-40B4-BE49-F238E27FC236}">
              <a16:creationId xmlns:a16="http://schemas.microsoft.com/office/drawing/2014/main" id="{BBA6ADF7-D100-4B59-8E9D-9817D994A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205652</xdr:colOff>
      <xdr:row>19</xdr:row>
      <xdr:rowOff>1080</xdr:rowOff>
    </xdr:from>
    <xdr:to>
      <xdr:col>13</xdr:col>
      <xdr:colOff>11906</xdr:colOff>
      <xdr:row>29</xdr:row>
      <xdr:rowOff>139702</xdr:rowOff>
    </xdr:to>
    <xdr:graphicFrame macro="">
      <xdr:nvGraphicFramePr>
        <xdr:cNvPr id="7" name="Chart 6">
          <a:extLst>
            <a:ext uri="{FF2B5EF4-FFF2-40B4-BE49-F238E27FC236}">
              <a16:creationId xmlns:a16="http://schemas.microsoft.com/office/drawing/2014/main" id="{C91CF11C-0680-46C1-A838-965296053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8425</xdr:colOff>
      <xdr:row>2</xdr:row>
      <xdr:rowOff>23812</xdr:rowOff>
    </xdr:from>
    <xdr:to>
      <xdr:col>14</xdr:col>
      <xdr:colOff>1206981</xdr:colOff>
      <xdr:row>8</xdr:row>
      <xdr:rowOff>53916</xdr:rowOff>
    </xdr:to>
    <mc:AlternateContent xmlns:mc="http://schemas.openxmlformats.org/markup-compatibility/2006" xmlns:a14="http://schemas.microsoft.com/office/drawing/2010/main">
      <mc:Choice Requires="a14">
        <xdr:graphicFrame macro="">
          <xdr:nvGraphicFramePr>
            <xdr:cNvPr id="8" name="Month_Name 1">
              <a:extLst>
                <a:ext uri="{FF2B5EF4-FFF2-40B4-BE49-F238E27FC236}">
                  <a16:creationId xmlns:a16="http://schemas.microsoft.com/office/drawing/2014/main" id="{0E749E1B-0B7C-415B-BF13-2C31CF05EE23}"/>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mlns="">
        <xdr:sp macro="" textlink="">
          <xdr:nvSpPr>
            <xdr:cNvPr id="0" name=""/>
            <xdr:cNvSpPr>
              <a:spLocks noTextEdit="1"/>
            </xdr:cNvSpPr>
          </xdr:nvSpPr>
          <xdr:spPr>
            <a:xfrm>
              <a:off x="10485925" y="906617"/>
              <a:ext cx="1198556" cy="1679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5953</xdr:colOff>
      <xdr:row>9</xdr:row>
      <xdr:rowOff>19994</xdr:rowOff>
    </xdr:from>
    <xdr:to>
      <xdr:col>14</xdr:col>
      <xdr:colOff>1219665</xdr:colOff>
      <xdr:row>18</xdr:row>
      <xdr:rowOff>186682</xdr:rowOff>
    </xdr:to>
    <mc:AlternateContent xmlns:mc="http://schemas.openxmlformats.org/markup-compatibility/2006" xmlns:a14="http://schemas.microsoft.com/office/drawing/2010/main">
      <mc:Choice Requires="a14">
        <xdr:graphicFrame macro="">
          <xdr:nvGraphicFramePr>
            <xdr:cNvPr id="9" name="CategoryName 1">
              <a:extLst>
                <a:ext uri="{FF2B5EF4-FFF2-40B4-BE49-F238E27FC236}">
                  <a16:creationId xmlns:a16="http://schemas.microsoft.com/office/drawing/2014/main" id="{DAB4FDB6-7724-4B25-9269-16D88E524536}"/>
                </a:ext>
              </a:extLst>
            </xdr:cNvPr>
            <xdr:cNvGraphicFramePr/>
          </xdr:nvGraphicFramePr>
          <xdr:xfrm>
            <a:off x="0" y="0"/>
            <a:ext cx="0" cy="0"/>
          </xdr:xfrm>
          <a:graphic>
            <a:graphicData uri="http://schemas.microsoft.com/office/drawing/2010/slicer">
              <sle:slicer xmlns:sle="http://schemas.microsoft.com/office/drawing/2010/slicer" name="CategoryName 1"/>
            </a:graphicData>
          </a:graphic>
        </xdr:graphicFrame>
      </mc:Choice>
      <mc:Fallback xmlns="">
        <xdr:sp macro="" textlink="">
          <xdr:nvSpPr>
            <xdr:cNvPr id="0" name=""/>
            <xdr:cNvSpPr>
              <a:spLocks noTextEdit="1"/>
            </xdr:cNvSpPr>
          </xdr:nvSpPr>
          <xdr:spPr>
            <a:xfrm>
              <a:off x="10483453" y="2738104"/>
              <a:ext cx="1213712" cy="1688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8423</xdr:colOff>
      <xdr:row>19</xdr:row>
      <xdr:rowOff>1</xdr:rowOff>
    </xdr:from>
    <xdr:to>
      <xdr:col>14</xdr:col>
      <xdr:colOff>1254512</xdr:colOff>
      <xdr:row>28</xdr:row>
      <xdr:rowOff>38100</xdr:rowOff>
    </xdr:to>
    <mc:AlternateContent xmlns:mc="http://schemas.openxmlformats.org/markup-compatibility/2006" xmlns:a14="http://schemas.microsoft.com/office/drawing/2010/main">
      <mc:Choice Requires="a14">
        <xdr:graphicFrame macro="">
          <xdr:nvGraphicFramePr>
            <xdr:cNvPr id="11" name="EmployeeName 1">
              <a:extLst>
                <a:ext uri="{FF2B5EF4-FFF2-40B4-BE49-F238E27FC236}">
                  <a16:creationId xmlns:a16="http://schemas.microsoft.com/office/drawing/2014/main" id="{72C77D26-7160-46B9-8221-63212C0FC5C4}"/>
                </a:ext>
              </a:extLst>
            </xdr:cNvPr>
            <xdr:cNvGraphicFramePr/>
          </xdr:nvGraphicFramePr>
          <xdr:xfrm>
            <a:off x="0" y="0"/>
            <a:ext cx="0" cy="0"/>
          </xdr:xfrm>
          <a:graphic>
            <a:graphicData uri="http://schemas.microsoft.com/office/drawing/2010/slicer">
              <sle:slicer xmlns:sle="http://schemas.microsoft.com/office/drawing/2010/slicer" name="EmployeeName 1"/>
            </a:graphicData>
          </a:graphic>
        </xdr:graphicFrame>
      </mc:Choice>
      <mc:Fallback xmlns="">
        <xdr:sp macro="" textlink="">
          <xdr:nvSpPr>
            <xdr:cNvPr id="0" name=""/>
            <xdr:cNvSpPr>
              <a:spLocks noTextEdit="1"/>
            </xdr:cNvSpPr>
          </xdr:nvSpPr>
          <xdr:spPr>
            <a:xfrm>
              <a:off x="10485923" y="4588263"/>
              <a:ext cx="1246089" cy="1710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refreshedDate="46209.666807175927" backgroundQuery="1" createdVersion="7" refreshedVersion="7" minRefreshableVersion="3" recordCount="0" supportSubquery="1" supportAdvancedDrill="1" xr:uid="{3D2A8896-C93F-4DAA-9515-BDE1E16BA0B6}">
  <cacheSource type="external" connectionId="6"/>
  <cacheFields count="4">
    <cacheField name="[Measures].[Sum of Total_Revenue]" caption="Sum of Total_Revenue" numFmtId="0" hierarchy="33" level="32767"/>
    <cacheField name="[vw_MonthlyRevenue].[Month_Name].[Month_Name]" caption="Month_Name" numFmtId="0" hierarchy="17" level="1">
      <sharedItems count="12">
        <s v="April"/>
        <s v="August"/>
        <s v="December"/>
        <s v="February"/>
        <s v="January"/>
        <s v="July"/>
        <s v="June"/>
        <s v="March"/>
        <s v="May"/>
        <s v="November"/>
        <s v="October"/>
        <s v="September"/>
      </sharedItems>
    </cacheField>
    <cacheField name="[vw_ProductRevenue].[ProductName].[ProductName]" caption="ProductName" numFmtId="0" hierarchy="23" level="1">
      <sharedItems count="10">
        <s v="Acer Aspire 7"/>
        <s v="Canon Pixma G3010"/>
        <s v="Cosmic Byte Gaming Mouse"/>
        <s v="Dell Inspiron 15"/>
        <s v="Epson EcoTank L3250"/>
        <s v="HP Pavilion 15"/>
        <s v="HP Wired Keyboard"/>
        <s v="JBL Headphones"/>
        <s v="Lenovo IdeaPad Slim 5"/>
        <s v="LG UltraWide Monitor 27&quot;"/>
      </sharedItems>
    </cacheField>
    <cacheField name="[vw_CustomerRevenue].[CustomerName].[CustomerName]" caption="CustomerName" numFmtId="0" hierarchy="7" level="1">
      <sharedItems count="10">
        <s v="Abhishek Verma"/>
        <s v="Aditya Kulkarni"/>
        <s v="Aisha Khan"/>
        <s v="Akash Sharma"/>
        <s v="Aman Khanna"/>
        <s v="Amit Singh"/>
        <s v="Ananya Das"/>
        <s v="Anjali Roy"/>
        <s v="Arjun Mehta"/>
        <s v="Bhavna Joshi"/>
      </sharedItems>
    </cacheField>
  </cacheFields>
  <cacheHierarchies count="41">
    <cacheHierarchy uniqueName="[vw_CategoryRevenue].[CategoryID]" caption="CategoryID" attribute="1" defaultMemberUniqueName="[vw_CategoryRevenue].[CategoryID].[All]" allUniqueName="[vw_CategoryRevenue].[CategoryID].[All]" dimensionUniqueName="[vw_CategoryRevenue]" displayFolder="" count="2" memberValueDatatype="20" unbalanced="0"/>
    <cacheHierarchy uniqueName="[vw_CategoryRevenue].[CategoryName]" caption="CategoryName" attribute="1" defaultMemberUniqueName="[vw_CategoryRevenue].[CategoryName].[All]" allUniqueName="[vw_CategoryRevenue].[CategoryName].[All]" dimensionUniqueName="[vw_CategoryRevenue]" displayFolder="" count="2" memberValueDatatype="130" unbalanced="0"/>
    <cacheHierarchy uniqueName="[vw_CategoryRevenue].[Total_Products]" caption="Total_Products" attribute="1" defaultMemberUniqueName="[vw_CategoryRevenue].[Total_Products].[All]" allUniqueName="[vw_CategoryRevenue].[Total_Products].[All]" dimensionUniqueName="[vw_CategoryRevenue]" displayFolder="" count="2" memberValueDatatype="20" unbalanced="0"/>
    <cacheHierarchy uniqueName="[vw_CategoryRevenue].[Total_Quantity_Sold]" caption="Total_Quantity_Sold" attribute="1" defaultMemberUniqueName="[vw_CategoryRevenue].[Total_Quantity_Sold].[All]" allUniqueName="[vw_CategoryRevenue].[Total_Quantity_Sold].[All]" dimensionUniqueName="[vw_CategoryRevenue]" displayFolder="" count="2" memberValueDatatype="20" unbalanced="0"/>
    <cacheHierarchy uniqueName="[vw_CategoryRevenue].[Total_Revenue]" caption="Total_Revenue" attribute="1" defaultMemberUniqueName="[vw_CategoryRevenue].[Total_Revenue].[All]" allUniqueName="[vw_CategoryRevenue].[Total_Revenue].[All]" dimensionUniqueName="[vw_CategoryRevenue]" displayFolder="" count="2" memberValueDatatype="5" unbalanced="0"/>
    <cacheHierarchy uniqueName="[vw_CategoryRevenue].[Total_Profit]" caption="Total_Profit" attribute="1" defaultMemberUniqueName="[vw_CategoryRevenue].[Total_Profit].[All]" allUniqueName="[vw_CategoryRevenue].[Total_Profit].[All]" dimensionUniqueName="[vw_CategoryRevenue]" displayFolder="" count="2" memberValueDatatype="5" unbalanced="0"/>
    <cacheHierarchy uniqueName="[vw_CustomerRevenue].[CustomerID]" caption="CustomerID" attribute="1" defaultMemberUniqueName="[vw_CustomerRevenue].[CustomerID].[All]" allUniqueName="[vw_CustomerRevenue].[CustomerID].[All]" dimensionUniqueName="[vw_CustomerRevenue]" displayFolder="" count="2" memberValueDatatype="20" unbalanced="0"/>
    <cacheHierarchy uniqueName="[vw_CustomerRevenue].[CustomerName]" caption="CustomerName" attribute="1" defaultMemberUniqueName="[vw_CustomerRevenue].[CustomerName].[All]" allUniqueName="[vw_CustomerRevenue].[CustomerName].[All]" dimensionUniqueName="[vw_CustomerRevenue]" displayFolder="" count="2" memberValueDatatype="130" unbalanced="0">
      <fieldsUsage count="2">
        <fieldUsage x="-1"/>
        <fieldUsage x="3"/>
      </fieldsUsage>
    </cacheHierarchy>
    <cacheHierarchy uniqueName="[vw_CustomerRevenue].[Total_Revenue]" caption="Total_Revenue" attribute="1" defaultMemberUniqueName="[vw_CustomerRevenue].[Total_Revenue].[All]" allUniqueName="[vw_CustomerRevenue].[Total_Revenue].[All]" dimensionUniqueName="[vw_CustomerRevenue]" displayFolder="" count="2" memberValueDatatype="5" unbalanced="0"/>
    <cacheHierarchy uniqueName="[vw_EmployeePerformance].[EmployeeID]" caption="EmployeeID" attribute="1" defaultMemberUniqueName="[vw_EmployeePerformance].[EmployeeID].[All]" allUniqueName="[vw_EmployeePerformance].[EmployeeID].[All]" dimensionUniqueName="[vw_EmployeePerformance]" displayFolder="" count="2" memberValueDatatype="20" unbalanced="0"/>
    <cacheHierarchy uniqueName="[vw_EmployeePerformance].[EmployeeName]" caption="EmployeeName" attribute="1" defaultMemberUniqueName="[vw_EmployeePerformance].[EmployeeName].[All]" allUniqueName="[vw_EmployeePerformance].[EmployeeName].[All]" dimensionUniqueName="[vw_EmployeePerformance]" displayFolder="" count="2" memberValueDatatype="130" unbalanced="0"/>
    <cacheHierarchy uniqueName="[vw_EmployeePerformance].[Total_Orders]" caption="Total_Orders" attribute="1" defaultMemberUniqueName="[vw_EmployeePerformance].[Total_Orders].[All]" allUniqueName="[vw_EmployeePerformance].[Total_Orders].[All]" dimensionUniqueName="[vw_EmployeePerformance]" displayFolder="" count="2" memberValueDatatype="20" unbalanced="0"/>
    <cacheHierarchy uniqueName="[vw_EmployeePerformance].[Total_Quantity_Sold]" caption="Total_Quantity_Sold" attribute="1" defaultMemberUniqueName="[vw_EmployeePerformance].[Total_Quantity_Sold].[All]" allUniqueName="[vw_EmployeePerformance].[Total_Quantity_Sold].[All]" dimensionUniqueName="[vw_EmployeePerformance]" displayFolder="" count="2" memberValueDatatype="20" unbalanced="0"/>
    <cacheHierarchy uniqueName="[vw_EmployeePerformance].[Total_Revenue]" caption="Total_Revenue" attribute="1" defaultMemberUniqueName="[vw_EmployeePerformance].[Total_Revenue].[All]" allUniqueName="[vw_EmployeePerformance].[Total_Revenue].[All]" dimensionUniqueName="[vw_EmployeePerformance]" displayFolder="" count="2" memberValueDatatype="5" unbalanced="0"/>
    <cacheHierarchy uniqueName="[vw_EmployeePerformance].[Total_Profit]" caption="Total_Profit" attribute="1" defaultMemberUniqueName="[vw_EmployeePerformance].[Total_Profit].[All]" allUniqueName="[vw_EmployeePerformance].[Total_Profit].[All]" dimensionUniqueName="[vw_EmployeePerformance]" displayFolder="" count="2" memberValueDatatype="5" unbalanced="0"/>
    <cacheHierarchy uniqueName="[vw_MonthlyRevenue].[Order_Year]" caption="Order_Year" attribute="1" defaultMemberUniqueName="[vw_MonthlyRevenue].[Order_Year].[All]" allUniqueName="[vw_MonthlyRevenue].[Order_Year].[All]" dimensionUniqueName="[vw_MonthlyRevenue]" displayFolder="" count="2" memberValueDatatype="20" unbalanced="0"/>
    <cacheHierarchy uniqueName="[vw_MonthlyRevenue].[Order_Month]" caption="Order_Month" attribute="1" defaultMemberUniqueName="[vw_MonthlyRevenue].[Order_Month].[All]" allUniqueName="[vw_MonthlyRevenue].[Order_Month].[All]" dimensionUniqueName="[vw_MonthlyRevenue]" displayFolder="" count="2" memberValueDatatype="20" unbalanced="0"/>
    <cacheHierarchy uniqueName="[vw_MonthlyRevenue].[Month_Name]" caption="Month_Name" attribute="1" defaultMemberUniqueName="[vw_MonthlyRevenue].[Month_Name].[All]" allUniqueName="[vw_MonthlyRevenue].[Month_Name].[All]" dimensionUniqueName="[vw_MonthlyRevenue]" displayFolder="" count="2" memberValueDatatype="130" unbalanced="0">
      <fieldsUsage count="2">
        <fieldUsage x="-1"/>
        <fieldUsage x="1"/>
      </fieldsUsage>
    </cacheHierarchy>
    <cacheHierarchy uniqueName="[vw_MonthlyRevenue].[Total_Orders]" caption="Total_Orders" attribute="1" defaultMemberUniqueName="[vw_MonthlyRevenue].[Total_Orders].[All]" allUniqueName="[vw_MonthlyRevenue].[Total_Orders].[All]" dimensionUniqueName="[vw_MonthlyRevenue]" displayFolder="" count="2" memberValueDatatype="20" unbalanced="0"/>
    <cacheHierarchy uniqueName="[vw_MonthlyRevenue].[Total_Products_Sold]" caption="Total_Products_Sold" attribute="1" defaultMemberUniqueName="[vw_MonthlyRevenue].[Total_Products_Sold].[All]" allUniqueName="[vw_MonthlyRevenue].[Total_Products_Sold].[All]" dimensionUniqueName="[vw_MonthlyRevenue]" displayFolder="" count="2" memberValueDatatype="20" unbalanced="0"/>
    <cacheHierarchy uniqueName="[vw_MonthlyRevenue].[Total_Revenue]" caption="Total_Revenue" attribute="1" defaultMemberUniqueName="[vw_MonthlyRevenue].[Total_Revenue].[All]" allUniqueName="[vw_MonthlyRevenue].[Total_Revenue].[All]" dimensionUniqueName="[vw_MonthlyRevenue]" displayFolder="" count="2" memberValueDatatype="5" unbalanced="0"/>
    <cacheHierarchy uniqueName="[vw_MonthlyRevenue].[Total_Profit]" caption="Total_Profit" attribute="1" defaultMemberUniqueName="[vw_MonthlyRevenue].[Total_Profit].[All]" allUniqueName="[vw_MonthlyRevenue].[Total_Profit].[All]" dimensionUniqueName="[vw_MonthlyRevenue]" displayFolder="" count="2" memberValueDatatype="5" unbalanced="0"/>
    <cacheHierarchy uniqueName="[vw_ProductRevenue].[ProductID]" caption="ProductID" attribute="1" defaultMemberUniqueName="[vw_ProductRevenue].[ProductID].[All]" allUniqueName="[vw_ProductRevenue].[ProductID].[All]" dimensionUniqueName="[vw_ProductRevenue]" displayFolder="" count="2" memberValueDatatype="20" unbalanced="0"/>
    <cacheHierarchy uniqueName="[vw_ProductRevenue].[ProductName]" caption="ProductName" attribute="1" defaultMemberUniqueName="[vw_ProductRevenue].[ProductName].[All]" allUniqueName="[vw_ProductRevenue].[ProductName].[All]" dimensionUniqueName="[vw_ProductRevenue]" displayFolder="" count="2" memberValueDatatype="130" unbalanced="0">
      <fieldsUsage count="2">
        <fieldUsage x="-1"/>
        <fieldUsage x="2"/>
      </fieldsUsage>
    </cacheHierarchy>
    <cacheHierarchy uniqueName="[vw_ProductRevenue].[CategoryName]" caption="CategoryName" attribute="1" defaultMemberUniqueName="[vw_ProductRevenue].[CategoryName].[All]" allUniqueName="[vw_ProductRevenue].[CategoryName].[All]" dimensionUniqueName="[vw_ProductRevenue]" displayFolder="" count="2" memberValueDatatype="130" unbalanced="0"/>
    <cacheHierarchy uniqueName="[vw_ProductRevenue].[Total_Quantity_Sold]" caption="Total_Quantity_Sold" attribute="1" defaultMemberUniqueName="[vw_ProductRevenue].[Total_Quantity_Sold].[All]" allUniqueName="[vw_ProductRevenue].[Total_Quantity_Sold].[All]" dimensionUniqueName="[vw_ProductRevenue]" displayFolder="" count="2" memberValueDatatype="20" unbalanced="0"/>
    <cacheHierarchy uniqueName="[vw_ProductRevenue].[Total_Revenue]" caption="Total_Revenue" attribute="1" defaultMemberUniqueName="[vw_ProductRevenue].[Total_Revenue].[All]" allUniqueName="[vw_ProductRevenue].[Total_Revenue].[All]" dimensionUniqueName="[vw_ProductRevenue]" displayFolder="" count="2" memberValueDatatype="5" unbalanced="0"/>
    <cacheHierarchy uniqueName="[Measures].[__XL_Count vw_CategoryRevenue]" caption="__XL_Count vw_CategoryRevenue" measure="1" displayFolder="" measureGroup="vw_CategoryRevenue" count="0" hidden="1"/>
    <cacheHierarchy uniqueName="[Measures].[__XL_Count vw_CustomerRevenue]" caption="__XL_Count vw_CustomerRevenue" measure="1" displayFolder="" measureGroup="vw_CustomerRevenue" count="0" hidden="1"/>
    <cacheHierarchy uniqueName="[Measures].[__XL_Count vw_EmployeePerformance]" caption="__XL_Count vw_EmployeePerformance" measure="1" displayFolder="" measureGroup="vw_EmployeePerformance" count="0" hidden="1"/>
    <cacheHierarchy uniqueName="[Measures].[__XL_Count vw_MonthlyRevenue]" caption="__XL_Count vw_MonthlyRevenue" measure="1" displayFolder="" measureGroup="vw_MonthlyRevenue" count="0" hidden="1"/>
    <cacheHierarchy uniqueName="[Measures].[__XL_Count vw_ProductRevenue]" caption="__XL_Count vw_ProductRevenue" measure="1" displayFolder="" measureGroup="vw_ProductRevenue" count="0" hidden="1"/>
    <cacheHierarchy uniqueName="[Measures].[__No measures defined]" caption="__No measures defined" measure="1" displayFolder="" count="0" hidden="1"/>
    <cacheHierarchy uniqueName="[Measures].[Sum of Total_Revenue]" caption="Sum of Total_Revenue" measure="1" displayFolder="" measureGroup="vw_MonthlyRevenu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Total_Profit]" caption="Sum of Total_Profit" measure="1" displayFolder="" measureGroup="vw_MonthlyRevenue" count="0" hidden="1">
      <extLst>
        <ext xmlns:x15="http://schemas.microsoft.com/office/spreadsheetml/2010/11/main" uri="{B97F6D7D-B522-45F9-BDA1-12C45D357490}">
          <x15:cacheHierarchy aggregatedColumn="21"/>
        </ext>
      </extLst>
    </cacheHierarchy>
    <cacheHierarchy uniqueName="[Measures].[Sum of Total_Orders]" caption="Sum of Total_Orders" measure="1" displayFolder="" measureGroup="vw_MonthlyRevenue" count="0" hidden="1">
      <extLst>
        <ext xmlns:x15="http://schemas.microsoft.com/office/spreadsheetml/2010/11/main" uri="{B97F6D7D-B522-45F9-BDA1-12C45D357490}">
          <x15:cacheHierarchy aggregatedColumn="18"/>
        </ext>
      </extLst>
    </cacheHierarchy>
    <cacheHierarchy uniqueName="[Measures].[Count of Total_Orders]" caption="Count of Total_Orders" measure="1" displayFolder="" measureGroup="vw_MonthlyRevenue" count="0" hidden="1">
      <extLst>
        <ext xmlns:x15="http://schemas.microsoft.com/office/spreadsheetml/2010/11/main" uri="{B97F6D7D-B522-45F9-BDA1-12C45D357490}">
          <x15:cacheHierarchy aggregatedColumn="18"/>
        </ext>
      </extLst>
    </cacheHierarchy>
    <cacheHierarchy uniqueName="[Measures].[Sum of Total_Products_Sold]" caption="Sum of Total_Products_Sold" measure="1" displayFolder="" measureGroup="vw_MonthlyRevenue" count="0" hidden="1">
      <extLst>
        <ext xmlns:x15="http://schemas.microsoft.com/office/spreadsheetml/2010/11/main" uri="{B97F6D7D-B522-45F9-BDA1-12C45D357490}">
          <x15:cacheHierarchy aggregatedColumn="19"/>
        </ext>
      </extLst>
    </cacheHierarchy>
    <cacheHierarchy uniqueName="[Measures].[Count of Total_Products_Sold]" caption="Count of Total_Products_Sold" measure="1" displayFolder="" measureGroup="vw_MonthlyRevenue"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vw_CustomerRevenue"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vw_CustomerRevenue" count="0" hidden="1">
      <extLst>
        <ext xmlns:x15="http://schemas.microsoft.com/office/spreadsheetml/2010/11/main" uri="{B97F6D7D-B522-45F9-BDA1-12C45D357490}">
          <x15:cacheHierarchy aggregatedColumn="6"/>
        </ext>
      </extLst>
    </cacheHierarchy>
  </cacheHierarchies>
  <kpis count="0"/>
  <dimensions count="6">
    <dimension measure="1" name="Measures" uniqueName="[Measures]" caption="Measures"/>
    <dimension name="vw_CategoryRevenue" uniqueName="[vw_CategoryRevenue]" caption="vw_CategoryRevenue"/>
    <dimension name="vw_CustomerRevenue" uniqueName="[vw_CustomerRevenue]" caption="vw_CustomerRevenue"/>
    <dimension name="vw_EmployeePerformance" uniqueName="[vw_EmployeePerformance]" caption="vw_EmployeePerformance"/>
    <dimension name="vw_MonthlyRevenue" uniqueName="[vw_MonthlyRevenue]" caption="vw_MonthlyRevenue"/>
    <dimension name="vw_ProductRevenue" uniqueName="[vw_ProductRevenue]" caption="vw_ProductRevenue"/>
  </dimensions>
  <measureGroups count="5">
    <measureGroup name="vw_CategoryRevenue" caption="vw_CategoryRevenue"/>
    <measureGroup name="vw_CustomerRevenue" caption="vw_CustomerRevenue"/>
    <measureGroup name="vw_EmployeePerformance" caption="vw_EmployeePerformance"/>
    <measureGroup name="vw_MonthlyRevenue" caption="vw_MonthlyRevenue"/>
    <measureGroup name="vw_ProductRevenue" caption="vw_ProductRevenue"/>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refreshedDate="46209.66680752315" backgroundQuery="1" createdVersion="7" refreshedVersion="7" minRefreshableVersion="3" recordCount="0" supportSubquery="1" supportAdvancedDrill="1" xr:uid="{8E30F9E5-CD78-4B8C-87CF-2E92D3EF4DB5}">
  <cacheSource type="external" connectionId="6"/>
  <cacheFields count="2">
    <cacheField name="[Measures].[Sum of Total_Revenue]" caption="Sum of Total_Revenue" numFmtId="0" hierarchy="33" level="32767"/>
    <cacheField name="[vw_MonthlyRevenue].[Month_Name].[Month_Name]" caption="Month_Name" numFmtId="0" hierarchy="17" level="1">
      <sharedItems containsSemiMixedTypes="0" containsNonDate="0" containsString="0"/>
    </cacheField>
  </cacheFields>
  <cacheHierarchies count="41">
    <cacheHierarchy uniqueName="[vw_CategoryRevenue].[CategoryID]" caption="CategoryID" attribute="1" defaultMemberUniqueName="[vw_CategoryRevenue].[CategoryID].[All]" allUniqueName="[vw_CategoryRevenue].[CategoryID].[All]" dimensionUniqueName="[vw_CategoryRevenue]" displayFolder="" count="0" memberValueDatatype="20" unbalanced="0"/>
    <cacheHierarchy uniqueName="[vw_CategoryRevenue].[CategoryName]" caption="CategoryName" attribute="1" defaultMemberUniqueName="[vw_CategoryRevenue].[CategoryName].[All]" allUniqueName="[vw_CategoryRevenue].[CategoryName].[All]" dimensionUniqueName="[vw_CategoryRevenue]" displayFolder="" count="2" memberValueDatatype="130" unbalanced="0"/>
    <cacheHierarchy uniqueName="[vw_CategoryRevenue].[Total_Products]" caption="Total_Products" attribute="1" defaultMemberUniqueName="[vw_CategoryRevenue].[Total_Products].[All]" allUniqueName="[vw_CategoryRevenue].[Total_Products].[All]" dimensionUniqueName="[vw_CategoryRevenue]" displayFolder="" count="0" memberValueDatatype="20" unbalanced="0"/>
    <cacheHierarchy uniqueName="[vw_CategoryRevenue].[Total_Quantity_Sold]" caption="Total_Quantity_Sold" attribute="1" defaultMemberUniqueName="[vw_CategoryRevenue].[Total_Quantity_Sold].[All]" allUniqueName="[vw_CategoryRevenue].[Total_Quantity_Sold].[All]" dimensionUniqueName="[vw_CategoryRevenue]" displayFolder="" count="0" memberValueDatatype="20" unbalanced="0"/>
    <cacheHierarchy uniqueName="[vw_CategoryRevenue].[Total_Revenue]" caption="Total_Revenue" attribute="1" defaultMemberUniqueName="[vw_CategoryRevenue].[Total_Revenue].[All]" allUniqueName="[vw_CategoryRevenue].[Total_Revenue].[All]" dimensionUniqueName="[vw_CategoryRevenue]" displayFolder="" count="0" memberValueDatatype="5" unbalanced="0"/>
    <cacheHierarchy uniqueName="[vw_CategoryRevenue].[Total_Profit]" caption="Total_Profit" attribute="1" defaultMemberUniqueName="[vw_CategoryRevenue].[Total_Profit].[All]" allUniqueName="[vw_CategoryRevenue].[Total_Profit].[All]" dimensionUniqueName="[vw_CategoryRevenue]" displayFolder="" count="0" memberValueDatatype="5" unbalanced="0"/>
    <cacheHierarchy uniqueName="[vw_CustomerRevenue].[CustomerID]" caption="CustomerID" attribute="1" defaultMemberUniqueName="[vw_CustomerRevenue].[CustomerID].[All]" allUniqueName="[vw_CustomerRevenue].[CustomerID].[All]" dimensionUniqueName="[vw_CustomerRevenue]" displayFolder="" count="0" memberValueDatatype="20" unbalanced="0"/>
    <cacheHierarchy uniqueName="[vw_CustomerRevenue].[CustomerName]" caption="CustomerName" attribute="1" defaultMemberUniqueName="[vw_CustomerRevenue].[CustomerName].[All]" allUniqueName="[vw_CustomerRevenue].[CustomerName].[All]" dimensionUniqueName="[vw_CustomerRevenue]" displayFolder="" count="0" memberValueDatatype="130" unbalanced="0"/>
    <cacheHierarchy uniqueName="[vw_CustomerRevenue].[Total_Revenue]" caption="Total_Revenue" attribute="1" defaultMemberUniqueName="[vw_CustomerRevenue].[Total_Revenue].[All]" allUniqueName="[vw_CustomerRevenue].[Total_Revenue].[All]" dimensionUniqueName="[vw_CustomerRevenue]" displayFolder="" count="0" memberValueDatatype="5" unbalanced="0"/>
    <cacheHierarchy uniqueName="[vw_EmployeePerformance].[EmployeeID]" caption="EmployeeID" attribute="1" defaultMemberUniqueName="[vw_EmployeePerformance].[EmployeeID].[All]" allUniqueName="[vw_EmployeePerformance].[EmployeeID].[All]" dimensionUniqueName="[vw_EmployeePerformance]" displayFolder="" count="0" memberValueDatatype="20" unbalanced="0"/>
    <cacheHierarchy uniqueName="[vw_EmployeePerformance].[EmployeeName]" caption="EmployeeName" attribute="1" defaultMemberUniqueName="[vw_EmployeePerformance].[EmployeeName].[All]" allUniqueName="[vw_EmployeePerformance].[EmployeeName].[All]" dimensionUniqueName="[vw_EmployeePerformance]" displayFolder="" count="2" memberValueDatatype="130" unbalanced="0"/>
    <cacheHierarchy uniqueName="[vw_EmployeePerformance].[Total_Orders]" caption="Total_Orders" attribute="1" defaultMemberUniqueName="[vw_EmployeePerformance].[Total_Orders].[All]" allUniqueName="[vw_EmployeePerformance].[Total_Orders].[All]" dimensionUniqueName="[vw_EmployeePerformance]" displayFolder="" count="0" memberValueDatatype="20" unbalanced="0"/>
    <cacheHierarchy uniqueName="[vw_EmployeePerformance].[Total_Quantity_Sold]" caption="Total_Quantity_Sold" attribute="1" defaultMemberUniqueName="[vw_EmployeePerformance].[Total_Quantity_Sold].[All]" allUniqueName="[vw_EmployeePerformance].[Total_Quantity_Sold].[All]" dimensionUniqueName="[vw_EmployeePerformance]" displayFolder="" count="0" memberValueDatatype="20" unbalanced="0"/>
    <cacheHierarchy uniqueName="[vw_EmployeePerformance].[Total_Revenue]" caption="Total_Revenue" attribute="1" defaultMemberUniqueName="[vw_EmployeePerformance].[Total_Revenue].[All]" allUniqueName="[vw_EmployeePerformance].[Total_Revenue].[All]" dimensionUniqueName="[vw_EmployeePerformance]" displayFolder="" count="0" memberValueDatatype="5" unbalanced="0"/>
    <cacheHierarchy uniqueName="[vw_EmployeePerformance].[Total_Profit]" caption="Total_Profit" attribute="1" defaultMemberUniqueName="[vw_EmployeePerformance].[Total_Profit].[All]" allUniqueName="[vw_EmployeePerformance].[Total_Profit].[All]" dimensionUniqueName="[vw_EmployeePerformance]" displayFolder="" count="0" memberValueDatatype="5" unbalanced="0"/>
    <cacheHierarchy uniqueName="[vw_MonthlyRevenue].[Order_Year]" caption="Order_Year" attribute="1" defaultMemberUniqueName="[vw_MonthlyRevenue].[Order_Year].[All]" allUniqueName="[vw_MonthlyRevenue].[Order_Year].[All]" dimensionUniqueName="[vw_MonthlyRevenue]" displayFolder="" count="0" memberValueDatatype="20" unbalanced="0"/>
    <cacheHierarchy uniqueName="[vw_MonthlyRevenue].[Order_Month]" caption="Order_Month" attribute="1" defaultMemberUniqueName="[vw_MonthlyRevenue].[Order_Month].[All]" allUniqueName="[vw_MonthlyRevenue].[Order_Month].[All]" dimensionUniqueName="[vw_MonthlyRevenue]" displayFolder="" count="0" memberValueDatatype="20" unbalanced="0"/>
    <cacheHierarchy uniqueName="[vw_MonthlyRevenue].[Month_Name]" caption="Month_Name" attribute="1" defaultMemberUniqueName="[vw_MonthlyRevenue].[Month_Name].[All]" allUniqueName="[vw_MonthlyRevenue].[Month_Name].[All]" dimensionUniqueName="[vw_MonthlyRevenue]" displayFolder="" count="2" memberValueDatatype="130" unbalanced="0">
      <fieldsUsage count="2">
        <fieldUsage x="-1"/>
        <fieldUsage x="1"/>
      </fieldsUsage>
    </cacheHierarchy>
    <cacheHierarchy uniqueName="[vw_MonthlyRevenue].[Total_Orders]" caption="Total_Orders" attribute="1" defaultMemberUniqueName="[vw_MonthlyRevenue].[Total_Orders].[All]" allUniqueName="[vw_MonthlyRevenue].[Total_Orders].[All]" dimensionUniqueName="[vw_MonthlyRevenue]" displayFolder="" count="0" memberValueDatatype="20" unbalanced="0"/>
    <cacheHierarchy uniqueName="[vw_MonthlyRevenue].[Total_Products_Sold]" caption="Total_Products_Sold" attribute="1" defaultMemberUniqueName="[vw_MonthlyRevenue].[Total_Products_Sold].[All]" allUniqueName="[vw_MonthlyRevenue].[Total_Products_Sold].[All]" dimensionUniqueName="[vw_MonthlyRevenue]" displayFolder="" count="0" memberValueDatatype="20" unbalanced="0"/>
    <cacheHierarchy uniqueName="[vw_MonthlyRevenue].[Total_Revenue]" caption="Total_Revenue" attribute="1" defaultMemberUniqueName="[vw_MonthlyRevenue].[Total_Revenue].[All]" allUniqueName="[vw_MonthlyRevenue].[Total_Revenue].[All]" dimensionUniqueName="[vw_MonthlyRevenue]" displayFolder="" count="0" memberValueDatatype="5" unbalanced="0"/>
    <cacheHierarchy uniqueName="[vw_MonthlyRevenue].[Total_Profit]" caption="Total_Profit" attribute="1" defaultMemberUniqueName="[vw_MonthlyRevenue].[Total_Profit].[All]" allUniqueName="[vw_MonthlyRevenue].[Total_Profit].[All]" dimensionUniqueName="[vw_MonthlyRevenue]" displayFolder="" count="0" memberValueDatatype="5" unbalanced="0"/>
    <cacheHierarchy uniqueName="[vw_ProductRevenue].[ProductID]" caption="ProductID" attribute="1" defaultMemberUniqueName="[vw_ProductRevenue].[ProductID].[All]" allUniqueName="[vw_ProductRevenue].[ProductID].[All]" dimensionUniqueName="[vw_ProductRevenue]" displayFolder="" count="0" memberValueDatatype="20" unbalanced="0"/>
    <cacheHierarchy uniqueName="[vw_ProductRevenue].[ProductName]" caption="ProductName" attribute="1" defaultMemberUniqueName="[vw_ProductRevenue].[ProductName].[All]" allUniqueName="[vw_ProductRevenue].[ProductName].[All]" dimensionUniqueName="[vw_ProductRevenue]" displayFolder="" count="0" memberValueDatatype="130" unbalanced="0"/>
    <cacheHierarchy uniqueName="[vw_ProductRevenue].[CategoryName]" caption="CategoryName" attribute="1" defaultMemberUniqueName="[vw_ProductRevenue].[CategoryName].[All]" allUniqueName="[vw_ProductRevenue].[CategoryName].[All]" dimensionUniqueName="[vw_ProductRevenue]" displayFolder="" count="0" memberValueDatatype="130" unbalanced="0"/>
    <cacheHierarchy uniqueName="[vw_ProductRevenue].[Total_Quantity_Sold]" caption="Total_Quantity_Sold" attribute="1" defaultMemberUniqueName="[vw_ProductRevenue].[Total_Quantity_Sold].[All]" allUniqueName="[vw_ProductRevenue].[Total_Quantity_Sold].[All]" dimensionUniqueName="[vw_ProductRevenue]" displayFolder="" count="0" memberValueDatatype="20" unbalanced="0"/>
    <cacheHierarchy uniqueName="[vw_ProductRevenue].[Total_Revenue]" caption="Total_Revenue" attribute="1" defaultMemberUniqueName="[vw_ProductRevenue].[Total_Revenue].[All]" allUniqueName="[vw_ProductRevenue].[Total_Revenue].[All]" dimensionUniqueName="[vw_ProductRevenue]" displayFolder="" count="0" memberValueDatatype="5" unbalanced="0"/>
    <cacheHierarchy uniqueName="[Measures].[__XL_Count vw_CategoryRevenue]" caption="__XL_Count vw_CategoryRevenue" measure="1" displayFolder="" measureGroup="vw_CategoryRevenue" count="0" hidden="1"/>
    <cacheHierarchy uniqueName="[Measures].[__XL_Count vw_CustomerRevenue]" caption="__XL_Count vw_CustomerRevenue" measure="1" displayFolder="" measureGroup="vw_CustomerRevenue" count="0" hidden="1"/>
    <cacheHierarchy uniqueName="[Measures].[__XL_Count vw_EmployeePerformance]" caption="__XL_Count vw_EmployeePerformance" measure="1" displayFolder="" measureGroup="vw_EmployeePerformance" count="0" hidden="1"/>
    <cacheHierarchy uniqueName="[Measures].[__XL_Count vw_MonthlyRevenue]" caption="__XL_Count vw_MonthlyRevenue" measure="1" displayFolder="" measureGroup="vw_MonthlyRevenue" count="0" hidden="1"/>
    <cacheHierarchy uniqueName="[Measures].[__XL_Count vw_ProductRevenue]" caption="__XL_Count vw_ProductRevenue" measure="1" displayFolder="" measureGroup="vw_ProductRevenue" count="0" hidden="1"/>
    <cacheHierarchy uniqueName="[Measures].[__No measures defined]" caption="__No measures defined" measure="1" displayFolder="" count="0" hidden="1"/>
    <cacheHierarchy uniqueName="[Measures].[Sum of Total_Revenue]" caption="Sum of Total_Revenue" measure="1" displayFolder="" measureGroup="vw_MonthlyRevenu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Total_Profit]" caption="Sum of Total_Profit" measure="1" displayFolder="" measureGroup="vw_MonthlyRevenue" count="0" hidden="1">
      <extLst>
        <ext xmlns:x15="http://schemas.microsoft.com/office/spreadsheetml/2010/11/main" uri="{B97F6D7D-B522-45F9-BDA1-12C45D357490}">
          <x15:cacheHierarchy aggregatedColumn="21"/>
        </ext>
      </extLst>
    </cacheHierarchy>
    <cacheHierarchy uniqueName="[Measures].[Sum of Total_Orders]" caption="Sum of Total_Orders" measure="1" displayFolder="" measureGroup="vw_MonthlyRevenue" count="0" hidden="1">
      <extLst>
        <ext xmlns:x15="http://schemas.microsoft.com/office/spreadsheetml/2010/11/main" uri="{B97F6D7D-B522-45F9-BDA1-12C45D357490}">
          <x15:cacheHierarchy aggregatedColumn="18"/>
        </ext>
      </extLst>
    </cacheHierarchy>
    <cacheHierarchy uniqueName="[Measures].[Count of Total_Orders]" caption="Count of Total_Orders" measure="1" displayFolder="" measureGroup="vw_MonthlyRevenue" count="0" hidden="1">
      <extLst>
        <ext xmlns:x15="http://schemas.microsoft.com/office/spreadsheetml/2010/11/main" uri="{B97F6D7D-B522-45F9-BDA1-12C45D357490}">
          <x15:cacheHierarchy aggregatedColumn="18"/>
        </ext>
      </extLst>
    </cacheHierarchy>
    <cacheHierarchy uniqueName="[Measures].[Sum of Total_Products_Sold]" caption="Sum of Total_Products_Sold" measure="1" displayFolder="" measureGroup="vw_MonthlyRevenue" count="0" hidden="1">
      <extLst>
        <ext xmlns:x15="http://schemas.microsoft.com/office/spreadsheetml/2010/11/main" uri="{B97F6D7D-B522-45F9-BDA1-12C45D357490}">
          <x15:cacheHierarchy aggregatedColumn="19"/>
        </ext>
      </extLst>
    </cacheHierarchy>
    <cacheHierarchy uniqueName="[Measures].[Count of Total_Products_Sold]" caption="Count of Total_Products_Sold" measure="1" displayFolder="" measureGroup="vw_MonthlyRevenue"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vw_CustomerRevenue"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vw_CustomerRevenue" count="0" hidden="1">
      <extLst>
        <ext xmlns:x15="http://schemas.microsoft.com/office/spreadsheetml/2010/11/main" uri="{B97F6D7D-B522-45F9-BDA1-12C45D357490}">
          <x15:cacheHierarchy aggregatedColumn="6"/>
        </ext>
      </extLst>
    </cacheHierarchy>
  </cacheHierarchies>
  <kpis count="0"/>
  <dimensions count="6">
    <dimension measure="1" name="Measures" uniqueName="[Measures]" caption="Measures"/>
    <dimension name="vw_CategoryRevenue" uniqueName="[vw_CategoryRevenue]" caption="vw_CategoryRevenue"/>
    <dimension name="vw_CustomerRevenue" uniqueName="[vw_CustomerRevenue]" caption="vw_CustomerRevenue"/>
    <dimension name="vw_EmployeePerformance" uniqueName="[vw_EmployeePerformance]" caption="vw_EmployeePerformance"/>
    <dimension name="vw_MonthlyRevenue" uniqueName="[vw_MonthlyRevenue]" caption="vw_MonthlyRevenue"/>
    <dimension name="vw_ProductRevenue" uniqueName="[vw_ProductRevenue]" caption="vw_ProductRevenue"/>
  </dimensions>
  <measureGroups count="5">
    <measureGroup name="vw_CategoryRevenue" caption="vw_CategoryRevenue"/>
    <measureGroup name="vw_CustomerRevenue" caption="vw_CustomerRevenue"/>
    <measureGroup name="vw_EmployeePerformance" caption="vw_EmployeePerformance"/>
    <measureGroup name="vw_MonthlyRevenue" caption="vw_MonthlyRevenue"/>
    <measureGroup name="vw_ProductRevenue" caption="vw_ProductRevenue"/>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refreshedDate="46209.666807754627" backgroundQuery="1" createdVersion="7" refreshedVersion="7" minRefreshableVersion="3" recordCount="0" supportSubquery="1" supportAdvancedDrill="1" xr:uid="{BE8E0073-23CD-4524-9033-99EE0F2FDAEE}">
  <cacheSource type="external" connectionId="6"/>
  <cacheFields count="2">
    <cacheField name="[Measures].[Sum of Total_Profit]" caption="Sum of Total_Profit" numFmtId="0" hierarchy="34" level="32767"/>
    <cacheField name="[vw_MonthlyRevenue].[Month_Name].[Month_Name]" caption="Month_Name" numFmtId="0" hierarchy="17" level="1">
      <sharedItems containsSemiMixedTypes="0" containsNonDate="0" containsString="0"/>
    </cacheField>
  </cacheFields>
  <cacheHierarchies count="41">
    <cacheHierarchy uniqueName="[vw_CategoryRevenue].[CategoryID]" caption="CategoryID" attribute="1" defaultMemberUniqueName="[vw_CategoryRevenue].[CategoryID].[All]" allUniqueName="[vw_CategoryRevenue].[CategoryID].[All]" dimensionUniqueName="[vw_CategoryRevenue]" displayFolder="" count="0" memberValueDatatype="20" unbalanced="0"/>
    <cacheHierarchy uniqueName="[vw_CategoryRevenue].[CategoryName]" caption="CategoryName" attribute="1" defaultMemberUniqueName="[vw_CategoryRevenue].[CategoryName].[All]" allUniqueName="[vw_CategoryRevenue].[CategoryName].[All]" dimensionUniqueName="[vw_CategoryRevenue]" displayFolder="" count="2" memberValueDatatype="130" unbalanced="0"/>
    <cacheHierarchy uniqueName="[vw_CategoryRevenue].[Total_Products]" caption="Total_Products" attribute="1" defaultMemberUniqueName="[vw_CategoryRevenue].[Total_Products].[All]" allUniqueName="[vw_CategoryRevenue].[Total_Products].[All]" dimensionUniqueName="[vw_CategoryRevenue]" displayFolder="" count="0" memberValueDatatype="20" unbalanced="0"/>
    <cacheHierarchy uniqueName="[vw_CategoryRevenue].[Total_Quantity_Sold]" caption="Total_Quantity_Sold" attribute="1" defaultMemberUniqueName="[vw_CategoryRevenue].[Total_Quantity_Sold].[All]" allUniqueName="[vw_CategoryRevenue].[Total_Quantity_Sold].[All]" dimensionUniqueName="[vw_CategoryRevenue]" displayFolder="" count="0" memberValueDatatype="20" unbalanced="0"/>
    <cacheHierarchy uniqueName="[vw_CategoryRevenue].[Total_Revenue]" caption="Total_Revenue" attribute="1" defaultMemberUniqueName="[vw_CategoryRevenue].[Total_Revenue].[All]" allUniqueName="[vw_CategoryRevenue].[Total_Revenue].[All]" dimensionUniqueName="[vw_CategoryRevenue]" displayFolder="" count="0" memberValueDatatype="5" unbalanced="0"/>
    <cacheHierarchy uniqueName="[vw_CategoryRevenue].[Total_Profit]" caption="Total_Profit" attribute="1" defaultMemberUniqueName="[vw_CategoryRevenue].[Total_Profit].[All]" allUniqueName="[vw_CategoryRevenue].[Total_Profit].[All]" dimensionUniqueName="[vw_CategoryRevenue]" displayFolder="" count="0" memberValueDatatype="5" unbalanced="0"/>
    <cacheHierarchy uniqueName="[vw_CustomerRevenue].[CustomerID]" caption="CustomerID" attribute="1" defaultMemberUniqueName="[vw_CustomerRevenue].[CustomerID].[All]" allUniqueName="[vw_CustomerRevenue].[CustomerID].[All]" dimensionUniqueName="[vw_CustomerRevenue]" displayFolder="" count="0" memberValueDatatype="20" unbalanced="0"/>
    <cacheHierarchy uniqueName="[vw_CustomerRevenue].[CustomerName]" caption="CustomerName" attribute="1" defaultMemberUniqueName="[vw_CustomerRevenue].[CustomerName].[All]" allUniqueName="[vw_CustomerRevenue].[CustomerName].[All]" dimensionUniqueName="[vw_CustomerRevenue]" displayFolder="" count="0" memberValueDatatype="130" unbalanced="0"/>
    <cacheHierarchy uniqueName="[vw_CustomerRevenue].[Total_Revenue]" caption="Total_Revenue" attribute="1" defaultMemberUniqueName="[vw_CustomerRevenue].[Total_Revenue].[All]" allUniqueName="[vw_CustomerRevenue].[Total_Revenue].[All]" dimensionUniqueName="[vw_CustomerRevenue]" displayFolder="" count="0" memberValueDatatype="5" unbalanced="0"/>
    <cacheHierarchy uniqueName="[vw_EmployeePerformance].[EmployeeID]" caption="EmployeeID" attribute="1" defaultMemberUniqueName="[vw_EmployeePerformance].[EmployeeID].[All]" allUniqueName="[vw_EmployeePerformance].[EmployeeID].[All]" dimensionUniqueName="[vw_EmployeePerformance]" displayFolder="" count="0" memberValueDatatype="20" unbalanced="0"/>
    <cacheHierarchy uniqueName="[vw_EmployeePerformance].[EmployeeName]" caption="EmployeeName" attribute="1" defaultMemberUniqueName="[vw_EmployeePerformance].[EmployeeName].[All]" allUniqueName="[vw_EmployeePerformance].[EmployeeName].[All]" dimensionUniqueName="[vw_EmployeePerformance]" displayFolder="" count="2" memberValueDatatype="130" unbalanced="0"/>
    <cacheHierarchy uniqueName="[vw_EmployeePerformance].[Total_Orders]" caption="Total_Orders" attribute="1" defaultMemberUniqueName="[vw_EmployeePerformance].[Total_Orders].[All]" allUniqueName="[vw_EmployeePerformance].[Total_Orders].[All]" dimensionUniqueName="[vw_EmployeePerformance]" displayFolder="" count="0" memberValueDatatype="20" unbalanced="0"/>
    <cacheHierarchy uniqueName="[vw_EmployeePerformance].[Total_Quantity_Sold]" caption="Total_Quantity_Sold" attribute="1" defaultMemberUniqueName="[vw_EmployeePerformance].[Total_Quantity_Sold].[All]" allUniqueName="[vw_EmployeePerformance].[Total_Quantity_Sold].[All]" dimensionUniqueName="[vw_EmployeePerformance]" displayFolder="" count="0" memberValueDatatype="20" unbalanced="0"/>
    <cacheHierarchy uniqueName="[vw_EmployeePerformance].[Total_Revenue]" caption="Total_Revenue" attribute="1" defaultMemberUniqueName="[vw_EmployeePerformance].[Total_Revenue].[All]" allUniqueName="[vw_EmployeePerformance].[Total_Revenue].[All]" dimensionUniqueName="[vw_EmployeePerformance]" displayFolder="" count="0" memberValueDatatype="5" unbalanced="0"/>
    <cacheHierarchy uniqueName="[vw_EmployeePerformance].[Total_Profit]" caption="Total_Profit" attribute="1" defaultMemberUniqueName="[vw_EmployeePerformance].[Total_Profit].[All]" allUniqueName="[vw_EmployeePerformance].[Total_Profit].[All]" dimensionUniqueName="[vw_EmployeePerformance]" displayFolder="" count="0" memberValueDatatype="5" unbalanced="0"/>
    <cacheHierarchy uniqueName="[vw_MonthlyRevenue].[Order_Year]" caption="Order_Year" attribute="1" defaultMemberUniqueName="[vw_MonthlyRevenue].[Order_Year].[All]" allUniqueName="[vw_MonthlyRevenue].[Order_Year].[All]" dimensionUniqueName="[vw_MonthlyRevenue]" displayFolder="" count="0" memberValueDatatype="20" unbalanced="0"/>
    <cacheHierarchy uniqueName="[vw_MonthlyRevenue].[Order_Month]" caption="Order_Month" attribute="1" defaultMemberUniqueName="[vw_MonthlyRevenue].[Order_Month].[All]" allUniqueName="[vw_MonthlyRevenue].[Order_Month].[All]" dimensionUniqueName="[vw_MonthlyRevenue]" displayFolder="" count="0" memberValueDatatype="20" unbalanced="0"/>
    <cacheHierarchy uniqueName="[vw_MonthlyRevenue].[Month_Name]" caption="Month_Name" attribute="1" defaultMemberUniqueName="[vw_MonthlyRevenue].[Month_Name].[All]" allUniqueName="[vw_MonthlyRevenue].[Month_Name].[All]" dimensionUniqueName="[vw_MonthlyRevenue]" displayFolder="" count="2" memberValueDatatype="130" unbalanced="0">
      <fieldsUsage count="2">
        <fieldUsage x="-1"/>
        <fieldUsage x="1"/>
      </fieldsUsage>
    </cacheHierarchy>
    <cacheHierarchy uniqueName="[vw_MonthlyRevenue].[Total_Orders]" caption="Total_Orders" attribute="1" defaultMemberUniqueName="[vw_MonthlyRevenue].[Total_Orders].[All]" allUniqueName="[vw_MonthlyRevenue].[Total_Orders].[All]" dimensionUniqueName="[vw_MonthlyRevenue]" displayFolder="" count="0" memberValueDatatype="20" unbalanced="0"/>
    <cacheHierarchy uniqueName="[vw_MonthlyRevenue].[Total_Products_Sold]" caption="Total_Products_Sold" attribute="1" defaultMemberUniqueName="[vw_MonthlyRevenue].[Total_Products_Sold].[All]" allUniqueName="[vw_MonthlyRevenue].[Total_Products_Sold].[All]" dimensionUniqueName="[vw_MonthlyRevenue]" displayFolder="" count="0" memberValueDatatype="20" unbalanced="0"/>
    <cacheHierarchy uniqueName="[vw_MonthlyRevenue].[Total_Revenue]" caption="Total_Revenue" attribute="1" defaultMemberUniqueName="[vw_MonthlyRevenue].[Total_Revenue].[All]" allUniqueName="[vw_MonthlyRevenue].[Total_Revenue].[All]" dimensionUniqueName="[vw_MonthlyRevenue]" displayFolder="" count="0" memberValueDatatype="5" unbalanced="0"/>
    <cacheHierarchy uniqueName="[vw_MonthlyRevenue].[Total_Profit]" caption="Total_Profit" attribute="1" defaultMemberUniqueName="[vw_MonthlyRevenue].[Total_Profit].[All]" allUniqueName="[vw_MonthlyRevenue].[Total_Profit].[All]" dimensionUniqueName="[vw_MonthlyRevenue]" displayFolder="" count="0" memberValueDatatype="5" unbalanced="0"/>
    <cacheHierarchy uniqueName="[vw_ProductRevenue].[ProductID]" caption="ProductID" attribute="1" defaultMemberUniqueName="[vw_ProductRevenue].[ProductID].[All]" allUniqueName="[vw_ProductRevenue].[ProductID].[All]" dimensionUniqueName="[vw_ProductRevenue]" displayFolder="" count="0" memberValueDatatype="20" unbalanced="0"/>
    <cacheHierarchy uniqueName="[vw_ProductRevenue].[ProductName]" caption="ProductName" attribute="1" defaultMemberUniqueName="[vw_ProductRevenue].[ProductName].[All]" allUniqueName="[vw_ProductRevenue].[ProductName].[All]" dimensionUniqueName="[vw_ProductRevenue]" displayFolder="" count="0" memberValueDatatype="130" unbalanced="0"/>
    <cacheHierarchy uniqueName="[vw_ProductRevenue].[CategoryName]" caption="CategoryName" attribute="1" defaultMemberUniqueName="[vw_ProductRevenue].[CategoryName].[All]" allUniqueName="[vw_ProductRevenue].[CategoryName].[All]" dimensionUniqueName="[vw_ProductRevenue]" displayFolder="" count="0" memberValueDatatype="130" unbalanced="0"/>
    <cacheHierarchy uniqueName="[vw_ProductRevenue].[Total_Quantity_Sold]" caption="Total_Quantity_Sold" attribute="1" defaultMemberUniqueName="[vw_ProductRevenue].[Total_Quantity_Sold].[All]" allUniqueName="[vw_ProductRevenue].[Total_Quantity_Sold].[All]" dimensionUniqueName="[vw_ProductRevenue]" displayFolder="" count="0" memberValueDatatype="20" unbalanced="0"/>
    <cacheHierarchy uniqueName="[vw_ProductRevenue].[Total_Revenue]" caption="Total_Revenue" attribute="1" defaultMemberUniqueName="[vw_ProductRevenue].[Total_Revenue].[All]" allUniqueName="[vw_ProductRevenue].[Total_Revenue].[All]" dimensionUniqueName="[vw_ProductRevenue]" displayFolder="" count="0" memberValueDatatype="5" unbalanced="0"/>
    <cacheHierarchy uniqueName="[Measures].[__XL_Count vw_CategoryRevenue]" caption="__XL_Count vw_CategoryRevenue" measure="1" displayFolder="" measureGroup="vw_CategoryRevenue" count="0" hidden="1"/>
    <cacheHierarchy uniqueName="[Measures].[__XL_Count vw_CustomerRevenue]" caption="__XL_Count vw_CustomerRevenue" measure="1" displayFolder="" measureGroup="vw_CustomerRevenue" count="0" hidden="1"/>
    <cacheHierarchy uniqueName="[Measures].[__XL_Count vw_EmployeePerformance]" caption="__XL_Count vw_EmployeePerformance" measure="1" displayFolder="" measureGroup="vw_EmployeePerformance" count="0" hidden="1"/>
    <cacheHierarchy uniqueName="[Measures].[__XL_Count vw_MonthlyRevenue]" caption="__XL_Count vw_MonthlyRevenue" measure="1" displayFolder="" measureGroup="vw_MonthlyRevenue" count="0" hidden="1"/>
    <cacheHierarchy uniqueName="[Measures].[__XL_Count vw_ProductRevenue]" caption="__XL_Count vw_ProductRevenue" measure="1" displayFolder="" measureGroup="vw_ProductRevenue" count="0" hidden="1"/>
    <cacheHierarchy uniqueName="[Measures].[__No measures defined]" caption="__No measures defined" measure="1" displayFolder="" count="0" hidden="1"/>
    <cacheHierarchy uniqueName="[Measures].[Sum of Total_Revenue]" caption="Sum of Total_Revenue" measure="1" displayFolder="" measureGroup="vw_MonthlyRevenue" count="0" hidden="1">
      <extLst>
        <ext xmlns:x15="http://schemas.microsoft.com/office/spreadsheetml/2010/11/main" uri="{B97F6D7D-B522-45F9-BDA1-12C45D357490}">
          <x15:cacheHierarchy aggregatedColumn="20"/>
        </ext>
      </extLst>
    </cacheHierarchy>
    <cacheHierarchy uniqueName="[Measures].[Sum of Total_Profit]" caption="Sum of Total_Profit" measure="1" displayFolder="" measureGroup="vw_MonthlyRevenue"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Total_Orders]" caption="Sum of Total_Orders" measure="1" displayFolder="" measureGroup="vw_MonthlyRevenue" count="0" hidden="1">
      <extLst>
        <ext xmlns:x15="http://schemas.microsoft.com/office/spreadsheetml/2010/11/main" uri="{B97F6D7D-B522-45F9-BDA1-12C45D357490}">
          <x15:cacheHierarchy aggregatedColumn="18"/>
        </ext>
      </extLst>
    </cacheHierarchy>
    <cacheHierarchy uniqueName="[Measures].[Count of Total_Orders]" caption="Count of Total_Orders" measure="1" displayFolder="" measureGroup="vw_MonthlyRevenue" count="0" hidden="1">
      <extLst>
        <ext xmlns:x15="http://schemas.microsoft.com/office/spreadsheetml/2010/11/main" uri="{B97F6D7D-B522-45F9-BDA1-12C45D357490}">
          <x15:cacheHierarchy aggregatedColumn="18"/>
        </ext>
      </extLst>
    </cacheHierarchy>
    <cacheHierarchy uniqueName="[Measures].[Sum of Total_Products_Sold]" caption="Sum of Total_Products_Sold" measure="1" displayFolder="" measureGroup="vw_MonthlyRevenue" count="0" hidden="1">
      <extLst>
        <ext xmlns:x15="http://schemas.microsoft.com/office/spreadsheetml/2010/11/main" uri="{B97F6D7D-B522-45F9-BDA1-12C45D357490}">
          <x15:cacheHierarchy aggregatedColumn="19"/>
        </ext>
      </extLst>
    </cacheHierarchy>
    <cacheHierarchy uniqueName="[Measures].[Count of Total_Products_Sold]" caption="Count of Total_Products_Sold" measure="1" displayFolder="" measureGroup="vw_MonthlyRevenue"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vw_CustomerRevenue"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vw_CustomerRevenue" count="0" hidden="1">
      <extLst>
        <ext xmlns:x15="http://schemas.microsoft.com/office/spreadsheetml/2010/11/main" uri="{B97F6D7D-B522-45F9-BDA1-12C45D357490}">
          <x15:cacheHierarchy aggregatedColumn="6"/>
        </ext>
      </extLst>
    </cacheHierarchy>
  </cacheHierarchies>
  <kpis count="0"/>
  <dimensions count="6">
    <dimension measure="1" name="Measures" uniqueName="[Measures]" caption="Measures"/>
    <dimension name="vw_CategoryRevenue" uniqueName="[vw_CategoryRevenue]" caption="vw_CategoryRevenue"/>
    <dimension name="vw_CustomerRevenue" uniqueName="[vw_CustomerRevenue]" caption="vw_CustomerRevenue"/>
    <dimension name="vw_EmployeePerformance" uniqueName="[vw_EmployeePerformance]" caption="vw_EmployeePerformance"/>
    <dimension name="vw_MonthlyRevenue" uniqueName="[vw_MonthlyRevenue]" caption="vw_MonthlyRevenue"/>
    <dimension name="vw_ProductRevenue" uniqueName="[vw_ProductRevenue]" caption="vw_ProductRevenue"/>
  </dimensions>
  <measureGroups count="5">
    <measureGroup name="vw_CategoryRevenue" caption="vw_CategoryRevenue"/>
    <measureGroup name="vw_CustomerRevenue" caption="vw_CustomerRevenue"/>
    <measureGroup name="vw_EmployeePerformance" caption="vw_EmployeePerformance"/>
    <measureGroup name="vw_MonthlyRevenue" caption="vw_MonthlyRevenue"/>
    <measureGroup name="vw_ProductRevenue" caption="vw_ProductRevenue"/>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refreshedDate="46209.666807870373" backgroundQuery="1" createdVersion="7" refreshedVersion="7" minRefreshableVersion="3" recordCount="0" supportSubquery="1" supportAdvancedDrill="1" xr:uid="{3E8630B6-75C5-4AB3-A97F-7DBA937A09DB}">
  <cacheSource type="external" connectionId="6"/>
  <cacheFields count="2">
    <cacheField name="[Measures].[Sum of Total_Orders]" caption="Sum of Total_Orders" numFmtId="0" hierarchy="35" level="32767"/>
    <cacheField name="[vw_MonthlyRevenue].[Month_Name].[Month_Name]" caption="Month_Name" numFmtId="0" hierarchy="17" level="1">
      <sharedItems containsSemiMixedTypes="0" containsNonDate="0" containsString="0"/>
    </cacheField>
  </cacheFields>
  <cacheHierarchies count="41">
    <cacheHierarchy uniqueName="[vw_CategoryRevenue].[CategoryID]" caption="CategoryID" attribute="1" defaultMemberUniqueName="[vw_CategoryRevenue].[CategoryID].[All]" allUniqueName="[vw_CategoryRevenue].[CategoryID].[All]" dimensionUniqueName="[vw_CategoryRevenue]" displayFolder="" count="0" memberValueDatatype="20" unbalanced="0"/>
    <cacheHierarchy uniqueName="[vw_CategoryRevenue].[CategoryName]" caption="CategoryName" attribute="1" defaultMemberUniqueName="[vw_CategoryRevenue].[CategoryName].[All]" allUniqueName="[vw_CategoryRevenue].[CategoryName].[All]" dimensionUniqueName="[vw_CategoryRevenue]" displayFolder="" count="2" memberValueDatatype="130" unbalanced="0"/>
    <cacheHierarchy uniqueName="[vw_CategoryRevenue].[Total_Products]" caption="Total_Products" attribute="1" defaultMemberUniqueName="[vw_CategoryRevenue].[Total_Products].[All]" allUniqueName="[vw_CategoryRevenue].[Total_Products].[All]" dimensionUniqueName="[vw_CategoryRevenue]" displayFolder="" count="0" memberValueDatatype="20" unbalanced="0"/>
    <cacheHierarchy uniqueName="[vw_CategoryRevenue].[Total_Quantity_Sold]" caption="Total_Quantity_Sold" attribute="1" defaultMemberUniqueName="[vw_CategoryRevenue].[Total_Quantity_Sold].[All]" allUniqueName="[vw_CategoryRevenue].[Total_Quantity_Sold].[All]" dimensionUniqueName="[vw_CategoryRevenue]" displayFolder="" count="0" memberValueDatatype="20" unbalanced="0"/>
    <cacheHierarchy uniqueName="[vw_CategoryRevenue].[Total_Revenue]" caption="Total_Revenue" attribute="1" defaultMemberUniqueName="[vw_CategoryRevenue].[Total_Revenue].[All]" allUniqueName="[vw_CategoryRevenue].[Total_Revenue].[All]" dimensionUniqueName="[vw_CategoryRevenue]" displayFolder="" count="0" memberValueDatatype="5" unbalanced="0"/>
    <cacheHierarchy uniqueName="[vw_CategoryRevenue].[Total_Profit]" caption="Total_Profit" attribute="1" defaultMemberUniqueName="[vw_CategoryRevenue].[Total_Profit].[All]" allUniqueName="[vw_CategoryRevenue].[Total_Profit].[All]" dimensionUniqueName="[vw_CategoryRevenue]" displayFolder="" count="0" memberValueDatatype="5" unbalanced="0"/>
    <cacheHierarchy uniqueName="[vw_CustomerRevenue].[CustomerID]" caption="CustomerID" attribute="1" defaultMemberUniqueName="[vw_CustomerRevenue].[CustomerID].[All]" allUniqueName="[vw_CustomerRevenue].[CustomerID].[All]" dimensionUniqueName="[vw_CustomerRevenue]" displayFolder="" count="0" memberValueDatatype="20" unbalanced="0"/>
    <cacheHierarchy uniqueName="[vw_CustomerRevenue].[CustomerName]" caption="CustomerName" attribute="1" defaultMemberUniqueName="[vw_CustomerRevenue].[CustomerName].[All]" allUniqueName="[vw_CustomerRevenue].[CustomerName].[All]" dimensionUniqueName="[vw_CustomerRevenue]" displayFolder="" count="0" memberValueDatatype="130" unbalanced="0"/>
    <cacheHierarchy uniqueName="[vw_CustomerRevenue].[Total_Revenue]" caption="Total_Revenue" attribute="1" defaultMemberUniqueName="[vw_CustomerRevenue].[Total_Revenue].[All]" allUniqueName="[vw_CustomerRevenue].[Total_Revenue].[All]" dimensionUniqueName="[vw_CustomerRevenue]" displayFolder="" count="0" memberValueDatatype="5" unbalanced="0"/>
    <cacheHierarchy uniqueName="[vw_EmployeePerformance].[EmployeeID]" caption="EmployeeID" attribute="1" defaultMemberUniqueName="[vw_EmployeePerformance].[EmployeeID].[All]" allUniqueName="[vw_EmployeePerformance].[EmployeeID].[All]" dimensionUniqueName="[vw_EmployeePerformance]" displayFolder="" count="0" memberValueDatatype="20" unbalanced="0"/>
    <cacheHierarchy uniqueName="[vw_EmployeePerformance].[EmployeeName]" caption="EmployeeName" attribute="1" defaultMemberUniqueName="[vw_EmployeePerformance].[EmployeeName].[All]" allUniqueName="[vw_EmployeePerformance].[EmployeeName].[All]" dimensionUniqueName="[vw_EmployeePerformance]" displayFolder="" count="2" memberValueDatatype="130" unbalanced="0"/>
    <cacheHierarchy uniqueName="[vw_EmployeePerformance].[Total_Orders]" caption="Total_Orders" attribute="1" defaultMemberUniqueName="[vw_EmployeePerformance].[Total_Orders].[All]" allUniqueName="[vw_EmployeePerformance].[Total_Orders].[All]" dimensionUniqueName="[vw_EmployeePerformance]" displayFolder="" count="0" memberValueDatatype="20" unbalanced="0"/>
    <cacheHierarchy uniqueName="[vw_EmployeePerformance].[Total_Quantity_Sold]" caption="Total_Quantity_Sold" attribute="1" defaultMemberUniqueName="[vw_EmployeePerformance].[Total_Quantity_Sold].[All]" allUniqueName="[vw_EmployeePerformance].[Total_Quantity_Sold].[All]" dimensionUniqueName="[vw_EmployeePerformance]" displayFolder="" count="0" memberValueDatatype="20" unbalanced="0"/>
    <cacheHierarchy uniqueName="[vw_EmployeePerformance].[Total_Revenue]" caption="Total_Revenue" attribute="1" defaultMemberUniqueName="[vw_EmployeePerformance].[Total_Revenue].[All]" allUniqueName="[vw_EmployeePerformance].[Total_Revenue].[All]" dimensionUniqueName="[vw_EmployeePerformance]" displayFolder="" count="0" memberValueDatatype="5" unbalanced="0"/>
    <cacheHierarchy uniqueName="[vw_EmployeePerformance].[Total_Profit]" caption="Total_Profit" attribute="1" defaultMemberUniqueName="[vw_EmployeePerformance].[Total_Profit].[All]" allUniqueName="[vw_EmployeePerformance].[Total_Profit].[All]" dimensionUniqueName="[vw_EmployeePerformance]" displayFolder="" count="0" memberValueDatatype="5" unbalanced="0"/>
    <cacheHierarchy uniqueName="[vw_MonthlyRevenue].[Order_Year]" caption="Order_Year" attribute="1" defaultMemberUniqueName="[vw_MonthlyRevenue].[Order_Year].[All]" allUniqueName="[vw_MonthlyRevenue].[Order_Year].[All]" dimensionUniqueName="[vw_MonthlyRevenue]" displayFolder="" count="0" memberValueDatatype="20" unbalanced="0"/>
    <cacheHierarchy uniqueName="[vw_MonthlyRevenue].[Order_Month]" caption="Order_Month" attribute="1" defaultMemberUniqueName="[vw_MonthlyRevenue].[Order_Month].[All]" allUniqueName="[vw_MonthlyRevenue].[Order_Month].[All]" dimensionUniqueName="[vw_MonthlyRevenue]" displayFolder="" count="0" memberValueDatatype="20" unbalanced="0"/>
    <cacheHierarchy uniqueName="[vw_MonthlyRevenue].[Month_Name]" caption="Month_Name" attribute="1" defaultMemberUniqueName="[vw_MonthlyRevenue].[Month_Name].[All]" allUniqueName="[vw_MonthlyRevenue].[Month_Name].[All]" dimensionUniqueName="[vw_MonthlyRevenue]" displayFolder="" count="2" memberValueDatatype="130" unbalanced="0">
      <fieldsUsage count="2">
        <fieldUsage x="-1"/>
        <fieldUsage x="1"/>
      </fieldsUsage>
    </cacheHierarchy>
    <cacheHierarchy uniqueName="[vw_MonthlyRevenue].[Total_Orders]" caption="Total_Orders" attribute="1" defaultMemberUniqueName="[vw_MonthlyRevenue].[Total_Orders].[All]" allUniqueName="[vw_MonthlyRevenue].[Total_Orders].[All]" dimensionUniqueName="[vw_MonthlyRevenue]" displayFolder="" count="0" memberValueDatatype="20" unbalanced="0"/>
    <cacheHierarchy uniqueName="[vw_MonthlyRevenue].[Total_Products_Sold]" caption="Total_Products_Sold" attribute="1" defaultMemberUniqueName="[vw_MonthlyRevenue].[Total_Products_Sold].[All]" allUniqueName="[vw_MonthlyRevenue].[Total_Products_Sold].[All]" dimensionUniqueName="[vw_MonthlyRevenue]" displayFolder="" count="0" memberValueDatatype="20" unbalanced="0"/>
    <cacheHierarchy uniqueName="[vw_MonthlyRevenue].[Total_Revenue]" caption="Total_Revenue" attribute="1" defaultMemberUniqueName="[vw_MonthlyRevenue].[Total_Revenue].[All]" allUniqueName="[vw_MonthlyRevenue].[Total_Revenue].[All]" dimensionUniqueName="[vw_MonthlyRevenue]" displayFolder="" count="0" memberValueDatatype="5" unbalanced="0"/>
    <cacheHierarchy uniqueName="[vw_MonthlyRevenue].[Total_Profit]" caption="Total_Profit" attribute="1" defaultMemberUniqueName="[vw_MonthlyRevenue].[Total_Profit].[All]" allUniqueName="[vw_MonthlyRevenue].[Total_Profit].[All]" dimensionUniqueName="[vw_MonthlyRevenue]" displayFolder="" count="0" memberValueDatatype="5" unbalanced="0"/>
    <cacheHierarchy uniqueName="[vw_ProductRevenue].[ProductID]" caption="ProductID" attribute="1" defaultMemberUniqueName="[vw_ProductRevenue].[ProductID].[All]" allUniqueName="[vw_ProductRevenue].[ProductID].[All]" dimensionUniqueName="[vw_ProductRevenue]" displayFolder="" count="0" memberValueDatatype="20" unbalanced="0"/>
    <cacheHierarchy uniqueName="[vw_ProductRevenue].[ProductName]" caption="ProductName" attribute="1" defaultMemberUniqueName="[vw_ProductRevenue].[ProductName].[All]" allUniqueName="[vw_ProductRevenue].[ProductName].[All]" dimensionUniqueName="[vw_ProductRevenue]" displayFolder="" count="0" memberValueDatatype="130" unbalanced="0"/>
    <cacheHierarchy uniqueName="[vw_ProductRevenue].[CategoryName]" caption="CategoryName" attribute="1" defaultMemberUniqueName="[vw_ProductRevenue].[CategoryName].[All]" allUniqueName="[vw_ProductRevenue].[CategoryName].[All]" dimensionUniqueName="[vw_ProductRevenue]" displayFolder="" count="0" memberValueDatatype="130" unbalanced="0"/>
    <cacheHierarchy uniqueName="[vw_ProductRevenue].[Total_Quantity_Sold]" caption="Total_Quantity_Sold" attribute="1" defaultMemberUniqueName="[vw_ProductRevenue].[Total_Quantity_Sold].[All]" allUniqueName="[vw_ProductRevenue].[Total_Quantity_Sold].[All]" dimensionUniqueName="[vw_ProductRevenue]" displayFolder="" count="0" memberValueDatatype="20" unbalanced="0"/>
    <cacheHierarchy uniqueName="[vw_ProductRevenue].[Total_Revenue]" caption="Total_Revenue" attribute="1" defaultMemberUniqueName="[vw_ProductRevenue].[Total_Revenue].[All]" allUniqueName="[vw_ProductRevenue].[Total_Revenue].[All]" dimensionUniqueName="[vw_ProductRevenue]" displayFolder="" count="0" memberValueDatatype="5" unbalanced="0"/>
    <cacheHierarchy uniqueName="[Measures].[__XL_Count vw_CategoryRevenue]" caption="__XL_Count vw_CategoryRevenue" measure="1" displayFolder="" measureGroup="vw_CategoryRevenue" count="0" hidden="1"/>
    <cacheHierarchy uniqueName="[Measures].[__XL_Count vw_CustomerRevenue]" caption="__XL_Count vw_CustomerRevenue" measure="1" displayFolder="" measureGroup="vw_CustomerRevenue" count="0" hidden="1"/>
    <cacheHierarchy uniqueName="[Measures].[__XL_Count vw_EmployeePerformance]" caption="__XL_Count vw_EmployeePerformance" measure="1" displayFolder="" measureGroup="vw_EmployeePerformance" count="0" hidden="1"/>
    <cacheHierarchy uniqueName="[Measures].[__XL_Count vw_MonthlyRevenue]" caption="__XL_Count vw_MonthlyRevenue" measure="1" displayFolder="" measureGroup="vw_MonthlyRevenue" count="0" hidden="1"/>
    <cacheHierarchy uniqueName="[Measures].[__XL_Count vw_ProductRevenue]" caption="__XL_Count vw_ProductRevenue" measure="1" displayFolder="" measureGroup="vw_ProductRevenue" count="0" hidden="1"/>
    <cacheHierarchy uniqueName="[Measures].[__No measures defined]" caption="__No measures defined" measure="1" displayFolder="" count="0" hidden="1"/>
    <cacheHierarchy uniqueName="[Measures].[Sum of Total_Revenue]" caption="Sum of Total_Revenue" measure="1" displayFolder="" measureGroup="vw_MonthlyRevenue" count="0" hidden="1">
      <extLst>
        <ext xmlns:x15="http://schemas.microsoft.com/office/spreadsheetml/2010/11/main" uri="{B97F6D7D-B522-45F9-BDA1-12C45D357490}">
          <x15:cacheHierarchy aggregatedColumn="20"/>
        </ext>
      </extLst>
    </cacheHierarchy>
    <cacheHierarchy uniqueName="[Measures].[Sum of Total_Profit]" caption="Sum of Total_Profit" measure="1" displayFolder="" measureGroup="vw_MonthlyRevenue" count="0" hidden="1">
      <extLst>
        <ext xmlns:x15="http://schemas.microsoft.com/office/spreadsheetml/2010/11/main" uri="{B97F6D7D-B522-45F9-BDA1-12C45D357490}">
          <x15:cacheHierarchy aggregatedColumn="21"/>
        </ext>
      </extLst>
    </cacheHierarchy>
    <cacheHierarchy uniqueName="[Measures].[Sum of Total_Orders]" caption="Sum of Total_Orders" measure="1" displayFolder="" measureGroup="vw_MonthlyRevenu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Total_Orders]" caption="Count of Total_Orders" measure="1" displayFolder="" measureGroup="vw_MonthlyRevenue" count="0" hidden="1">
      <extLst>
        <ext xmlns:x15="http://schemas.microsoft.com/office/spreadsheetml/2010/11/main" uri="{B97F6D7D-B522-45F9-BDA1-12C45D357490}">
          <x15:cacheHierarchy aggregatedColumn="18"/>
        </ext>
      </extLst>
    </cacheHierarchy>
    <cacheHierarchy uniqueName="[Measures].[Sum of Total_Products_Sold]" caption="Sum of Total_Products_Sold" measure="1" displayFolder="" measureGroup="vw_MonthlyRevenue" count="0" hidden="1">
      <extLst>
        <ext xmlns:x15="http://schemas.microsoft.com/office/spreadsheetml/2010/11/main" uri="{B97F6D7D-B522-45F9-BDA1-12C45D357490}">
          <x15:cacheHierarchy aggregatedColumn="19"/>
        </ext>
      </extLst>
    </cacheHierarchy>
    <cacheHierarchy uniqueName="[Measures].[Count of Total_Products_Sold]" caption="Count of Total_Products_Sold" measure="1" displayFolder="" measureGroup="vw_MonthlyRevenue"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vw_CustomerRevenue"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vw_CustomerRevenue" count="0" hidden="1">
      <extLst>
        <ext xmlns:x15="http://schemas.microsoft.com/office/spreadsheetml/2010/11/main" uri="{B97F6D7D-B522-45F9-BDA1-12C45D357490}">
          <x15:cacheHierarchy aggregatedColumn="6"/>
        </ext>
      </extLst>
    </cacheHierarchy>
  </cacheHierarchies>
  <kpis count="0"/>
  <dimensions count="6">
    <dimension measure="1" name="Measures" uniqueName="[Measures]" caption="Measures"/>
    <dimension name="vw_CategoryRevenue" uniqueName="[vw_CategoryRevenue]" caption="vw_CategoryRevenue"/>
    <dimension name="vw_CustomerRevenue" uniqueName="[vw_CustomerRevenue]" caption="vw_CustomerRevenue"/>
    <dimension name="vw_EmployeePerformance" uniqueName="[vw_EmployeePerformance]" caption="vw_EmployeePerformance"/>
    <dimension name="vw_MonthlyRevenue" uniqueName="[vw_MonthlyRevenue]" caption="vw_MonthlyRevenue"/>
    <dimension name="vw_ProductRevenue" uniqueName="[vw_ProductRevenue]" caption="vw_ProductRevenue"/>
  </dimensions>
  <measureGroups count="5">
    <measureGroup name="vw_CategoryRevenue" caption="vw_CategoryRevenue"/>
    <measureGroup name="vw_CustomerRevenue" caption="vw_CustomerRevenue"/>
    <measureGroup name="vw_EmployeePerformance" caption="vw_EmployeePerformance"/>
    <measureGroup name="vw_MonthlyRevenue" caption="vw_MonthlyRevenue"/>
    <measureGroup name="vw_ProductRevenue" caption="vw_ProductRevenue"/>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refreshedDate="46209.666808101851" backgroundQuery="1" createdVersion="7" refreshedVersion="7" minRefreshableVersion="3" recordCount="0" supportSubquery="1" supportAdvancedDrill="1" xr:uid="{74D5F6BA-767C-4C25-96ED-7799691DE758}">
  <cacheSource type="external" connectionId="6"/>
  <cacheFields count="2">
    <cacheField name="[Measures].[Sum of Total_Products_Sold]" caption="Sum of Total_Products_Sold" numFmtId="0" hierarchy="37" level="32767"/>
    <cacheField name="[vw_MonthlyRevenue].[Month_Name].[Month_Name]" caption="Month_Name" numFmtId="0" hierarchy="17" level="1">
      <sharedItems containsSemiMixedTypes="0" containsNonDate="0" containsString="0"/>
    </cacheField>
  </cacheFields>
  <cacheHierarchies count="41">
    <cacheHierarchy uniqueName="[vw_CategoryRevenue].[CategoryID]" caption="CategoryID" attribute="1" defaultMemberUniqueName="[vw_CategoryRevenue].[CategoryID].[All]" allUniqueName="[vw_CategoryRevenue].[CategoryID].[All]" dimensionUniqueName="[vw_CategoryRevenue]" displayFolder="" count="0" memberValueDatatype="20" unbalanced="0"/>
    <cacheHierarchy uniqueName="[vw_CategoryRevenue].[CategoryName]" caption="CategoryName" attribute="1" defaultMemberUniqueName="[vw_CategoryRevenue].[CategoryName].[All]" allUniqueName="[vw_CategoryRevenue].[CategoryName].[All]" dimensionUniqueName="[vw_CategoryRevenue]" displayFolder="" count="2" memberValueDatatype="130" unbalanced="0"/>
    <cacheHierarchy uniqueName="[vw_CategoryRevenue].[Total_Products]" caption="Total_Products" attribute="1" defaultMemberUniqueName="[vw_CategoryRevenue].[Total_Products].[All]" allUniqueName="[vw_CategoryRevenue].[Total_Products].[All]" dimensionUniqueName="[vw_CategoryRevenue]" displayFolder="" count="0" memberValueDatatype="20" unbalanced="0"/>
    <cacheHierarchy uniqueName="[vw_CategoryRevenue].[Total_Quantity_Sold]" caption="Total_Quantity_Sold" attribute="1" defaultMemberUniqueName="[vw_CategoryRevenue].[Total_Quantity_Sold].[All]" allUniqueName="[vw_CategoryRevenue].[Total_Quantity_Sold].[All]" dimensionUniqueName="[vw_CategoryRevenue]" displayFolder="" count="0" memberValueDatatype="20" unbalanced="0"/>
    <cacheHierarchy uniqueName="[vw_CategoryRevenue].[Total_Revenue]" caption="Total_Revenue" attribute="1" defaultMemberUniqueName="[vw_CategoryRevenue].[Total_Revenue].[All]" allUniqueName="[vw_CategoryRevenue].[Total_Revenue].[All]" dimensionUniqueName="[vw_CategoryRevenue]" displayFolder="" count="0" memberValueDatatype="5" unbalanced="0"/>
    <cacheHierarchy uniqueName="[vw_CategoryRevenue].[Total_Profit]" caption="Total_Profit" attribute="1" defaultMemberUniqueName="[vw_CategoryRevenue].[Total_Profit].[All]" allUniqueName="[vw_CategoryRevenue].[Total_Profit].[All]" dimensionUniqueName="[vw_CategoryRevenue]" displayFolder="" count="0" memberValueDatatype="5" unbalanced="0"/>
    <cacheHierarchy uniqueName="[vw_CustomerRevenue].[CustomerID]" caption="CustomerID" attribute="1" defaultMemberUniqueName="[vw_CustomerRevenue].[CustomerID].[All]" allUniqueName="[vw_CustomerRevenue].[CustomerID].[All]" dimensionUniqueName="[vw_CustomerRevenue]" displayFolder="" count="0" memberValueDatatype="20" unbalanced="0"/>
    <cacheHierarchy uniqueName="[vw_CustomerRevenue].[CustomerName]" caption="CustomerName" attribute="1" defaultMemberUniqueName="[vw_CustomerRevenue].[CustomerName].[All]" allUniqueName="[vw_CustomerRevenue].[CustomerName].[All]" dimensionUniqueName="[vw_CustomerRevenue]" displayFolder="" count="0" memberValueDatatype="130" unbalanced="0"/>
    <cacheHierarchy uniqueName="[vw_CustomerRevenue].[Total_Revenue]" caption="Total_Revenue" attribute="1" defaultMemberUniqueName="[vw_CustomerRevenue].[Total_Revenue].[All]" allUniqueName="[vw_CustomerRevenue].[Total_Revenue].[All]" dimensionUniqueName="[vw_CustomerRevenue]" displayFolder="" count="0" memberValueDatatype="5" unbalanced="0"/>
    <cacheHierarchy uniqueName="[vw_EmployeePerformance].[EmployeeID]" caption="EmployeeID" attribute="1" defaultMemberUniqueName="[vw_EmployeePerformance].[EmployeeID].[All]" allUniqueName="[vw_EmployeePerformance].[EmployeeID].[All]" dimensionUniqueName="[vw_EmployeePerformance]" displayFolder="" count="0" memberValueDatatype="20" unbalanced="0"/>
    <cacheHierarchy uniqueName="[vw_EmployeePerformance].[EmployeeName]" caption="EmployeeName" attribute="1" defaultMemberUniqueName="[vw_EmployeePerformance].[EmployeeName].[All]" allUniqueName="[vw_EmployeePerformance].[EmployeeName].[All]" dimensionUniqueName="[vw_EmployeePerformance]" displayFolder="" count="2" memberValueDatatype="130" unbalanced="0"/>
    <cacheHierarchy uniqueName="[vw_EmployeePerformance].[Total_Orders]" caption="Total_Orders" attribute="1" defaultMemberUniqueName="[vw_EmployeePerformance].[Total_Orders].[All]" allUniqueName="[vw_EmployeePerformance].[Total_Orders].[All]" dimensionUniqueName="[vw_EmployeePerformance]" displayFolder="" count="0" memberValueDatatype="20" unbalanced="0"/>
    <cacheHierarchy uniqueName="[vw_EmployeePerformance].[Total_Quantity_Sold]" caption="Total_Quantity_Sold" attribute="1" defaultMemberUniqueName="[vw_EmployeePerformance].[Total_Quantity_Sold].[All]" allUniqueName="[vw_EmployeePerformance].[Total_Quantity_Sold].[All]" dimensionUniqueName="[vw_EmployeePerformance]" displayFolder="" count="0" memberValueDatatype="20" unbalanced="0"/>
    <cacheHierarchy uniqueName="[vw_EmployeePerformance].[Total_Revenue]" caption="Total_Revenue" attribute="1" defaultMemberUniqueName="[vw_EmployeePerformance].[Total_Revenue].[All]" allUniqueName="[vw_EmployeePerformance].[Total_Revenue].[All]" dimensionUniqueName="[vw_EmployeePerformance]" displayFolder="" count="0" memberValueDatatype="5" unbalanced="0"/>
    <cacheHierarchy uniqueName="[vw_EmployeePerformance].[Total_Profit]" caption="Total_Profit" attribute="1" defaultMemberUniqueName="[vw_EmployeePerformance].[Total_Profit].[All]" allUniqueName="[vw_EmployeePerformance].[Total_Profit].[All]" dimensionUniqueName="[vw_EmployeePerformance]" displayFolder="" count="0" memberValueDatatype="5" unbalanced="0"/>
    <cacheHierarchy uniqueName="[vw_MonthlyRevenue].[Order_Year]" caption="Order_Year" attribute="1" defaultMemberUniqueName="[vw_MonthlyRevenue].[Order_Year].[All]" allUniqueName="[vw_MonthlyRevenue].[Order_Year].[All]" dimensionUniqueName="[vw_MonthlyRevenue]" displayFolder="" count="0" memberValueDatatype="20" unbalanced="0"/>
    <cacheHierarchy uniqueName="[vw_MonthlyRevenue].[Order_Month]" caption="Order_Month" attribute="1" defaultMemberUniqueName="[vw_MonthlyRevenue].[Order_Month].[All]" allUniqueName="[vw_MonthlyRevenue].[Order_Month].[All]" dimensionUniqueName="[vw_MonthlyRevenue]" displayFolder="" count="0" memberValueDatatype="20" unbalanced="0"/>
    <cacheHierarchy uniqueName="[vw_MonthlyRevenue].[Month_Name]" caption="Month_Name" attribute="1" defaultMemberUniqueName="[vw_MonthlyRevenue].[Month_Name].[All]" allUniqueName="[vw_MonthlyRevenue].[Month_Name].[All]" dimensionUniqueName="[vw_MonthlyRevenue]" displayFolder="" count="2" memberValueDatatype="130" unbalanced="0">
      <fieldsUsage count="2">
        <fieldUsage x="-1"/>
        <fieldUsage x="1"/>
      </fieldsUsage>
    </cacheHierarchy>
    <cacheHierarchy uniqueName="[vw_MonthlyRevenue].[Total_Orders]" caption="Total_Orders" attribute="1" defaultMemberUniqueName="[vw_MonthlyRevenue].[Total_Orders].[All]" allUniqueName="[vw_MonthlyRevenue].[Total_Orders].[All]" dimensionUniqueName="[vw_MonthlyRevenue]" displayFolder="" count="0" memberValueDatatype="20" unbalanced="0"/>
    <cacheHierarchy uniqueName="[vw_MonthlyRevenue].[Total_Products_Sold]" caption="Total_Products_Sold" attribute="1" defaultMemberUniqueName="[vw_MonthlyRevenue].[Total_Products_Sold].[All]" allUniqueName="[vw_MonthlyRevenue].[Total_Products_Sold].[All]" dimensionUniqueName="[vw_MonthlyRevenue]" displayFolder="" count="0" memberValueDatatype="20" unbalanced="0"/>
    <cacheHierarchy uniqueName="[vw_MonthlyRevenue].[Total_Revenue]" caption="Total_Revenue" attribute="1" defaultMemberUniqueName="[vw_MonthlyRevenue].[Total_Revenue].[All]" allUniqueName="[vw_MonthlyRevenue].[Total_Revenue].[All]" dimensionUniqueName="[vw_MonthlyRevenue]" displayFolder="" count="0" memberValueDatatype="5" unbalanced="0"/>
    <cacheHierarchy uniqueName="[vw_MonthlyRevenue].[Total_Profit]" caption="Total_Profit" attribute="1" defaultMemberUniqueName="[vw_MonthlyRevenue].[Total_Profit].[All]" allUniqueName="[vw_MonthlyRevenue].[Total_Profit].[All]" dimensionUniqueName="[vw_MonthlyRevenue]" displayFolder="" count="0" memberValueDatatype="5" unbalanced="0"/>
    <cacheHierarchy uniqueName="[vw_ProductRevenue].[ProductID]" caption="ProductID" attribute="1" defaultMemberUniqueName="[vw_ProductRevenue].[ProductID].[All]" allUniqueName="[vw_ProductRevenue].[ProductID].[All]" dimensionUniqueName="[vw_ProductRevenue]" displayFolder="" count="0" memberValueDatatype="20" unbalanced="0"/>
    <cacheHierarchy uniqueName="[vw_ProductRevenue].[ProductName]" caption="ProductName" attribute="1" defaultMemberUniqueName="[vw_ProductRevenue].[ProductName].[All]" allUniqueName="[vw_ProductRevenue].[ProductName].[All]" dimensionUniqueName="[vw_ProductRevenue]" displayFolder="" count="0" memberValueDatatype="130" unbalanced="0"/>
    <cacheHierarchy uniqueName="[vw_ProductRevenue].[CategoryName]" caption="CategoryName" attribute="1" defaultMemberUniqueName="[vw_ProductRevenue].[CategoryName].[All]" allUniqueName="[vw_ProductRevenue].[CategoryName].[All]" dimensionUniqueName="[vw_ProductRevenue]" displayFolder="" count="0" memberValueDatatype="130" unbalanced="0"/>
    <cacheHierarchy uniqueName="[vw_ProductRevenue].[Total_Quantity_Sold]" caption="Total_Quantity_Sold" attribute="1" defaultMemberUniqueName="[vw_ProductRevenue].[Total_Quantity_Sold].[All]" allUniqueName="[vw_ProductRevenue].[Total_Quantity_Sold].[All]" dimensionUniqueName="[vw_ProductRevenue]" displayFolder="" count="0" memberValueDatatype="20" unbalanced="0"/>
    <cacheHierarchy uniqueName="[vw_ProductRevenue].[Total_Revenue]" caption="Total_Revenue" attribute="1" defaultMemberUniqueName="[vw_ProductRevenue].[Total_Revenue].[All]" allUniqueName="[vw_ProductRevenue].[Total_Revenue].[All]" dimensionUniqueName="[vw_ProductRevenue]" displayFolder="" count="0" memberValueDatatype="5" unbalanced="0"/>
    <cacheHierarchy uniqueName="[Measures].[__XL_Count vw_CategoryRevenue]" caption="__XL_Count vw_CategoryRevenue" measure="1" displayFolder="" measureGroup="vw_CategoryRevenue" count="0" hidden="1"/>
    <cacheHierarchy uniqueName="[Measures].[__XL_Count vw_CustomerRevenue]" caption="__XL_Count vw_CustomerRevenue" measure="1" displayFolder="" measureGroup="vw_CustomerRevenue" count="0" hidden="1"/>
    <cacheHierarchy uniqueName="[Measures].[__XL_Count vw_EmployeePerformance]" caption="__XL_Count vw_EmployeePerformance" measure="1" displayFolder="" measureGroup="vw_EmployeePerformance" count="0" hidden="1"/>
    <cacheHierarchy uniqueName="[Measures].[__XL_Count vw_MonthlyRevenue]" caption="__XL_Count vw_MonthlyRevenue" measure="1" displayFolder="" measureGroup="vw_MonthlyRevenue" count="0" hidden="1"/>
    <cacheHierarchy uniqueName="[Measures].[__XL_Count vw_ProductRevenue]" caption="__XL_Count vw_ProductRevenue" measure="1" displayFolder="" measureGroup="vw_ProductRevenue" count="0" hidden="1"/>
    <cacheHierarchy uniqueName="[Measures].[__No measures defined]" caption="__No measures defined" measure="1" displayFolder="" count="0" hidden="1"/>
    <cacheHierarchy uniqueName="[Measures].[Sum of Total_Revenue]" caption="Sum of Total_Revenue" measure="1" displayFolder="" measureGroup="vw_MonthlyRevenue" count="0" hidden="1">
      <extLst>
        <ext xmlns:x15="http://schemas.microsoft.com/office/spreadsheetml/2010/11/main" uri="{B97F6D7D-B522-45F9-BDA1-12C45D357490}">
          <x15:cacheHierarchy aggregatedColumn="20"/>
        </ext>
      </extLst>
    </cacheHierarchy>
    <cacheHierarchy uniqueName="[Measures].[Sum of Total_Profit]" caption="Sum of Total_Profit" measure="1" displayFolder="" measureGroup="vw_MonthlyRevenue" count="0" hidden="1">
      <extLst>
        <ext xmlns:x15="http://schemas.microsoft.com/office/spreadsheetml/2010/11/main" uri="{B97F6D7D-B522-45F9-BDA1-12C45D357490}">
          <x15:cacheHierarchy aggregatedColumn="21"/>
        </ext>
      </extLst>
    </cacheHierarchy>
    <cacheHierarchy uniqueName="[Measures].[Sum of Total_Orders]" caption="Sum of Total_Orders" measure="1" displayFolder="" measureGroup="vw_MonthlyRevenue" count="0" hidden="1">
      <extLst>
        <ext xmlns:x15="http://schemas.microsoft.com/office/spreadsheetml/2010/11/main" uri="{B97F6D7D-B522-45F9-BDA1-12C45D357490}">
          <x15:cacheHierarchy aggregatedColumn="18"/>
        </ext>
      </extLst>
    </cacheHierarchy>
    <cacheHierarchy uniqueName="[Measures].[Count of Total_Orders]" caption="Count of Total_Orders" measure="1" displayFolder="" measureGroup="vw_MonthlyRevenue" count="0" hidden="1">
      <extLst>
        <ext xmlns:x15="http://schemas.microsoft.com/office/spreadsheetml/2010/11/main" uri="{B97F6D7D-B522-45F9-BDA1-12C45D357490}">
          <x15:cacheHierarchy aggregatedColumn="18"/>
        </ext>
      </extLst>
    </cacheHierarchy>
    <cacheHierarchy uniqueName="[Measures].[Sum of Total_Products_Sold]" caption="Sum of Total_Products_Sold" measure="1" displayFolder="" measureGroup="vw_MonthlyRevenue"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Total_Products_Sold]" caption="Count of Total_Products_Sold" measure="1" displayFolder="" measureGroup="vw_MonthlyRevenue"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vw_CustomerRevenue"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vw_CustomerRevenue" count="0" hidden="1">
      <extLst>
        <ext xmlns:x15="http://schemas.microsoft.com/office/spreadsheetml/2010/11/main" uri="{B97F6D7D-B522-45F9-BDA1-12C45D357490}">
          <x15:cacheHierarchy aggregatedColumn="6"/>
        </ext>
      </extLst>
    </cacheHierarchy>
  </cacheHierarchies>
  <kpis count="0"/>
  <dimensions count="6">
    <dimension measure="1" name="Measures" uniqueName="[Measures]" caption="Measures"/>
    <dimension name="vw_CategoryRevenue" uniqueName="[vw_CategoryRevenue]" caption="vw_CategoryRevenue"/>
    <dimension name="vw_CustomerRevenue" uniqueName="[vw_CustomerRevenue]" caption="vw_CustomerRevenue"/>
    <dimension name="vw_EmployeePerformance" uniqueName="[vw_EmployeePerformance]" caption="vw_EmployeePerformance"/>
    <dimension name="vw_MonthlyRevenue" uniqueName="[vw_MonthlyRevenue]" caption="vw_MonthlyRevenue"/>
    <dimension name="vw_ProductRevenue" uniqueName="[vw_ProductRevenue]" caption="vw_ProductRevenue"/>
  </dimensions>
  <measureGroups count="5">
    <measureGroup name="vw_CategoryRevenue" caption="vw_CategoryRevenue"/>
    <measureGroup name="vw_CustomerRevenue" caption="vw_CustomerRevenue"/>
    <measureGroup name="vw_EmployeePerformance" caption="vw_EmployeePerformance"/>
    <measureGroup name="vw_MonthlyRevenue" caption="vw_MonthlyRevenue"/>
    <measureGroup name="vw_ProductRevenue" caption="vw_ProductRevenue"/>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refreshedDate="46209.666808217589" backgroundQuery="1" createdVersion="7" refreshedVersion="7" minRefreshableVersion="3" recordCount="0" supportSubquery="1" supportAdvancedDrill="1" xr:uid="{B0AE5DDB-8BB2-46C2-B4F8-95A8C511218A}">
  <cacheSource type="external" connectionId="6"/>
  <cacheFields count="2">
    <cacheField name="[Measures].[Count of CustomerID]" caption="Count of CustomerID" numFmtId="0" hierarchy="40" level="32767"/>
    <cacheField name="[vw_MonthlyRevenue].[Month_Name].[Month_Name]" caption="Month_Name" numFmtId="0" hierarchy="17" level="1">
      <sharedItems containsSemiMixedTypes="0" containsNonDate="0" containsString="0"/>
    </cacheField>
  </cacheFields>
  <cacheHierarchies count="41">
    <cacheHierarchy uniqueName="[vw_CategoryRevenue].[CategoryID]" caption="CategoryID" attribute="1" defaultMemberUniqueName="[vw_CategoryRevenue].[CategoryID].[All]" allUniqueName="[vw_CategoryRevenue].[CategoryID].[All]" dimensionUniqueName="[vw_CategoryRevenue]" displayFolder="" count="0" memberValueDatatype="20" unbalanced="0"/>
    <cacheHierarchy uniqueName="[vw_CategoryRevenue].[CategoryName]" caption="CategoryName" attribute="1" defaultMemberUniqueName="[vw_CategoryRevenue].[CategoryName].[All]" allUniqueName="[vw_CategoryRevenue].[CategoryName].[All]" dimensionUniqueName="[vw_CategoryRevenue]" displayFolder="" count="2" memberValueDatatype="130" unbalanced="0"/>
    <cacheHierarchy uniqueName="[vw_CategoryRevenue].[Total_Products]" caption="Total_Products" attribute="1" defaultMemberUniqueName="[vw_CategoryRevenue].[Total_Products].[All]" allUniqueName="[vw_CategoryRevenue].[Total_Products].[All]" dimensionUniqueName="[vw_CategoryRevenue]" displayFolder="" count="0" memberValueDatatype="20" unbalanced="0"/>
    <cacheHierarchy uniqueName="[vw_CategoryRevenue].[Total_Quantity_Sold]" caption="Total_Quantity_Sold" attribute="1" defaultMemberUniqueName="[vw_CategoryRevenue].[Total_Quantity_Sold].[All]" allUniqueName="[vw_CategoryRevenue].[Total_Quantity_Sold].[All]" dimensionUniqueName="[vw_CategoryRevenue]" displayFolder="" count="0" memberValueDatatype="20" unbalanced="0"/>
    <cacheHierarchy uniqueName="[vw_CategoryRevenue].[Total_Revenue]" caption="Total_Revenue" attribute="1" defaultMemberUniqueName="[vw_CategoryRevenue].[Total_Revenue].[All]" allUniqueName="[vw_CategoryRevenue].[Total_Revenue].[All]" dimensionUniqueName="[vw_CategoryRevenue]" displayFolder="" count="0" memberValueDatatype="5" unbalanced="0"/>
    <cacheHierarchy uniqueName="[vw_CategoryRevenue].[Total_Profit]" caption="Total_Profit" attribute="1" defaultMemberUniqueName="[vw_CategoryRevenue].[Total_Profit].[All]" allUniqueName="[vw_CategoryRevenue].[Total_Profit].[All]" dimensionUniqueName="[vw_CategoryRevenue]" displayFolder="" count="0" memberValueDatatype="5" unbalanced="0"/>
    <cacheHierarchy uniqueName="[vw_CustomerRevenue].[CustomerID]" caption="CustomerID" attribute="1" defaultMemberUniqueName="[vw_CustomerRevenue].[CustomerID].[All]" allUniqueName="[vw_CustomerRevenue].[CustomerID].[All]" dimensionUniqueName="[vw_CustomerRevenue]" displayFolder="" count="0" memberValueDatatype="20" unbalanced="0"/>
    <cacheHierarchy uniqueName="[vw_CustomerRevenue].[CustomerName]" caption="CustomerName" attribute="1" defaultMemberUniqueName="[vw_CustomerRevenue].[CustomerName].[All]" allUniqueName="[vw_CustomerRevenue].[CustomerName].[All]" dimensionUniqueName="[vw_CustomerRevenue]" displayFolder="" count="0" memberValueDatatype="130" unbalanced="0"/>
    <cacheHierarchy uniqueName="[vw_CustomerRevenue].[Total_Revenue]" caption="Total_Revenue" attribute="1" defaultMemberUniqueName="[vw_CustomerRevenue].[Total_Revenue].[All]" allUniqueName="[vw_CustomerRevenue].[Total_Revenue].[All]" dimensionUniqueName="[vw_CustomerRevenue]" displayFolder="" count="0" memberValueDatatype="5" unbalanced="0"/>
    <cacheHierarchy uniqueName="[vw_EmployeePerformance].[EmployeeID]" caption="EmployeeID" attribute="1" defaultMemberUniqueName="[vw_EmployeePerformance].[EmployeeID].[All]" allUniqueName="[vw_EmployeePerformance].[EmployeeID].[All]" dimensionUniqueName="[vw_EmployeePerformance]" displayFolder="" count="0" memberValueDatatype="20" unbalanced="0"/>
    <cacheHierarchy uniqueName="[vw_EmployeePerformance].[EmployeeName]" caption="EmployeeName" attribute="1" defaultMemberUniqueName="[vw_EmployeePerformance].[EmployeeName].[All]" allUniqueName="[vw_EmployeePerformance].[EmployeeName].[All]" dimensionUniqueName="[vw_EmployeePerformance]" displayFolder="" count="2" memberValueDatatype="130" unbalanced="0"/>
    <cacheHierarchy uniqueName="[vw_EmployeePerformance].[Total_Orders]" caption="Total_Orders" attribute="1" defaultMemberUniqueName="[vw_EmployeePerformance].[Total_Orders].[All]" allUniqueName="[vw_EmployeePerformance].[Total_Orders].[All]" dimensionUniqueName="[vw_EmployeePerformance]" displayFolder="" count="0" memberValueDatatype="20" unbalanced="0"/>
    <cacheHierarchy uniqueName="[vw_EmployeePerformance].[Total_Quantity_Sold]" caption="Total_Quantity_Sold" attribute="1" defaultMemberUniqueName="[vw_EmployeePerformance].[Total_Quantity_Sold].[All]" allUniqueName="[vw_EmployeePerformance].[Total_Quantity_Sold].[All]" dimensionUniqueName="[vw_EmployeePerformance]" displayFolder="" count="0" memberValueDatatype="20" unbalanced="0"/>
    <cacheHierarchy uniqueName="[vw_EmployeePerformance].[Total_Revenue]" caption="Total_Revenue" attribute="1" defaultMemberUniqueName="[vw_EmployeePerformance].[Total_Revenue].[All]" allUniqueName="[vw_EmployeePerformance].[Total_Revenue].[All]" dimensionUniqueName="[vw_EmployeePerformance]" displayFolder="" count="0" memberValueDatatype="5" unbalanced="0"/>
    <cacheHierarchy uniqueName="[vw_EmployeePerformance].[Total_Profit]" caption="Total_Profit" attribute="1" defaultMemberUniqueName="[vw_EmployeePerformance].[Total_Profit].[All]" allUniqueName="[vw_EmployeePerformance].[Total_Profit].[All]" dimensionUniqueName="[vw_EmployeePerformance]" displayFolder="" count="0" memberValueDatatype="5" unbalanced="0"/>
    <cacheHierarchy uniqueName="[vw_MonthlyRevenue].[Order_Year]" caption="Order_Year" attribute="1" defaultMemberUniqueName="[vw_MonthlyRevenue].[Order_Year].[All]" allUniqueName="[vw_MonthlyRevenue].[Order_Year].[All]" dimensionUniqueName="[vw_MonthlyRevenue]" displayFolder="" count="0" memberValueDatatype="20" unbalanced="0"/>
    <cacheHierarchy uniqueName="[vw_MonthlyRevenue].[Order_Month]" caption="Order_Month" attribute="1" defaultMemberUniqueName="[vw_MonthlyRevenue].[Order_Month].[All]" allUniqueName="[vw_MonthlyRevenue].[Order_Month].[All]" dimensionUniqueName="[vw_MonthlyRevenue]" displayFolder="" count="0" memberValueDatatype="20" unbalanced="0"/>
    <cacheHierarchy uniqueName="[vw_MonthlyRevenue].[Month_Name]" caption="Month_Name" attribute="1" defaultMemberUniqueName="[vw_MonthlyRevenue].[Month_Name].[All]" allUniqueName="[vw_MonthlyRevenue].[Month_Name].[All]" dimensionUniqueName="[vw_MonthlyRevenue]" displayFolder="" count="2" memberValueDatatype="130" unbalanced="0">
      <fieldsUsage count="2">
        <fieldUsage x="-1"/>
        <fieldUsage x="1"/>
      </fieldsUsage>
    </cacheHierarchy>
    <cacheHierarchy uniqueName="[vw_MonthlyRevenue].[Total_Orders]" caption="Total_Orders" attribute="1" defaultMemberUniqueName="[vw_MonthlyRevenue].[Total_Orders].[All]" allUniqueName="[vw_MonthlyRevenue].[Total_Orders].[All]" dimensionUniqueName="[vw_MonthlyRevenue]" displayFolder="" count="0" memberValueDatatype="20" unbalanced="0"/>
    <cacheHierarchy uniqueName="[vw_MonthlyRevenue].[Total_Products_Sold]" caption="Total_Products_Sold" attribute="1" defaultMemberUniqueName="[vw_MonthlyRevenue].[Total_Products_Sold].[All]" allUniqueName="[vw_MonthlyRevenue].[Total_Products_Sold].[All]" dimensionUniqueName="[vw_MonthlyRevenue]" displayFolder="" count="0" memberValueDatatype="20" unbalanced="0"/>
    <cacheHierarchy uniqueName="[vw_MonthlyRevenue].[Total_Revenue]" caption="Total_Revenue" attribute="1" defaultMemberUniqueName="[vw_MonthlyRevenue].[Total_Revenue].[All]" allUniqueName="[vw_MonthlyRevenue].[Total_Revenue].[All]" dimensionUniqueName="[vw_MonthlyRevenue]" displayFolder="" count="0" memberValueDatatype="5" unbalanced="0"/>
    <cacheHierarchy uniqueName="[vw_MonthlyRevenue].[Total_Profit]" caption="Total_Profit" attribute="1" defaultMemberUniqueName="[vw_MonthlyRevenue].[Total_Profit].[All]" allUniqueName="[vw_MonthlyRevenue].[Total_Profit].[All]" dimensionUniqueName="[vw_MonthlyRevenue]" displayFolder="" count="0" memberValueDatatype="5" unbalanced="0"/>
    <cacheHierarchy uniqueName="[vw_ProductRevenue].[ProductID]" caption="ProductID" attribute="1" defaultMemberUniqueName="[vw_ProductRevenue].[ProductID].[All]" allUniqueName="[vw_ProductRevenue].[ProductID].[All]" dimensionUniqueName="[vw_ProductRevenue]" displayFolder="" count="0" memberValueDatatype="20" unbalanced="0"/>
    <cacheHierarchy uniqueName="[vw_ProductRevenue].[ProductName]" caption="ProductName" attribute="1" defaultMemberUniqueName="[vw_ProductRevenue].[ProductName].[All]" allUniqueName="[vw_ProductRevenue].[ProductName].[All]" dimensionUniqueName="[vw_ProductRevenue]" displayFolder="" count="0" memberValueDatatype="130" unbalanced="0"/>
    <cacheHierarchy uniqueName="[vw_ProductRevenue].[CategoryName]" caption="CategoryName" attribute="1" defaultMemberUniqueName="[vw_ProductRevenue].[CategoryName].[All]" allUniqueName="[vw_ProductRevenue].[CategoryName].[All]" dimensionUniqueName="[vw_ProductRevenue]" displayFolder="" count="0" memberValueDatatype="130" unbalanced="0"/>
    <cacheHierarchy uniqueName="[vw_ProductRevenue].[Total_Quantity_Sold]" caption="Total_Quantity_Sold" attribute="1" defaultMemberUniqueName="[vw_ProductRevenue].[Total_Quantity_Sold].[All]" allUniqueName="[vw_ProductRevenue].[Total_Quantity_Sold].[All]" dimensionUniqueName="[vw_ProductRevenue]" displayFolder="" count="0" memberValueDatatype="20" unbalanced="0"/>
    <cacheHierarchy uniqueName="[vw_ProductRevenue].[Total_Revenue]" caption="Total_Revenue" attribute="1" defaultMemberUniqueName="[vw_ProductRevenue].[Total_Revenue].[All]" allUniqueName="[vw_ProductRevenue].[Total_Revenue].[All]" dimensionUniqueName="[vw_ProductRevenue]" displayFolder="" count="0" memberValueDatatype="5" unbalanced="0"/>
    <cacheHierarchy uniqueName="[Measures].[__XL_Count vw_CategoryRevenue]" caption="__XL_Count vw_CategoryRevenue" measure="1" displayFolder="" measureGroup="vw_CategoryRevenue" count="0" hidden="1"/>
    <cacheHierarchy uniqueName="[Measures].[__XL_Count vw_CustomerRevenue]" caption="__XL_Count vw_CustomerRevenue" measure="1" displayFolder="" measureGroup="vw_CustomerRevenue" count="0" hidden="1"/>
    <cacheHierarchy uniqueName="[Measures].[__XL_Count vw_EmployeePerformance]" caption="__XL_Count vw_EmployeePerformance" measure="1" displayFolder="" measureGroup="vw_EmployeePerformance" count="0" hidden="1"/>
    <cacheHierarchy uniqueName="[Measures].[__XL_Count vw_MonthlyRevenue]" caption="__XL_Count vw_MonthlyRevenue" measure="1" displayFolder="" measureGroup="vw_MonthlyRevenue" count="0" hidden="1"/>
    <cacheHierarchy uniqueName="[Measures].[__XL_Count vw_ProductRevenue]" caption="__XL_Count vw_ProductRevenue" measure="1" displayFolder="" measureGroup="vw_ProductRevenue" count="0" hidden="1"/>
    <cacheHierarchy uniqueName="[Measures].[__No measures defined]" caption="__No measures defined" measure="1" displayFolder="" count="0" hidden="1"/>
    <cacheHierarchy uniqueName="[Measures].[Sum of Total_Revenue]" caption="Sum of Total_Revenue" measure="1" displayFolder="" measureGroup="vw_MonthlyRevenue" count="0" hidden="1">
      <extLst>
        <ext xmlns:x15="http://schemas.microsoft.com/office/spreadsheetml/2010/11/main" uri="{B97F6D7D-B522-45F9-BDA1-12C45D357490}">
          <x15:cacheHierarchy aggregatedColumn="20"/>
        </ext>
      </extLst>
    </cacheHierarchy>
    <cacheHierarchy uniqueName="[Measures].[Sum of Total_Profit]" caption="Sum of Total_Profit" measure="1" displayFolder="" measureGroup="vw_MonthlyRevenue" count="0" hidden="1">
      <extLst>
        <ext xmlns:x15="http://schemas.microsoft.com/office/spreadsheetml/2010/11/main" uri="{B97F6D7D-B522-45F9-BDA1-12C45D357490}">
          <x15:cacheHierarchy aggregatedColumn="21"/>
        </ext>
      </extLst>
    </cacheHierarchy>
    <cacheHierarchy uniqueName="[Measures].[Sum of Total_Orders]" caption="Sum of Total_Orders" measure="1" displayFolder="" measureGroup="vw_MonthlyRevenue" count="0" hidden="1">
      <extLst>
        <ext xmlns:x15="http://schemas.microsoft.com/office/spreadsheetml/2010/11/main" uri="{B97F6D7D-B522-45F9-BDA1-12C45D357490}">
          <x15:cacheHierarchy aggregatedColumn="18"/>
        </ext>
      </extLst>
    </cacheHierarchy>
    <cacheHierarchy uniqueName="[Measures].[Count of Total_Orders]" caption="Count of Total_Orders" measure="1" displayFolder="" measureGroup="vw_MonthlyRevenue" count="0" hidden="1">
      <extLst>
        <ext xmlns:x15="http://schemas.microsoft.com/office/spreadsheetml/2010/11/main" uri="{B97F6D7D-B522-45F9-BDA1-12C45D357490}">
          <x15:cacheHierarchy aggregatedColumn="18"/>
        </ext>
      </extLst>
    </cacheHierarchy>
    <cacheHierarchy uniqueName="[Measures].[Sum of Total_Products_Sold]" caption="Sum of Total_Products_Sold" measure="1" displayFolder="" measureGroup="vw_MonthlyRevenue" count="0" hidden="1">
      <extLst>
        <ext xmlns:x15="http://schemas.microsoft.com/office/spreadsheetml/2010/11/main" uri="{B97F6D7D-B522-45F9-BDA1-12C45D357490}">
          <x15:cacheHierarchy aggregatedColumn="19"/>
        </ext>
      </extLst>
    </cacheHierarchy>
    <cacheHierarchy uniqueName="[Measures].[Count of Total_Products_Sold]" caption="Count of Total_Products_Sold" measure="1" displayFolder="" measureGroup="vw_MonthlyRevenue"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vw_CustomerRevenue"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vw_CustomerRevenue"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6">
    <dimension measure="1" name="Measures" uniqueName="[Measures]" caption="Measures"/>
    <dimension name="vw_CategoryRevenue" uniqueName="[vw_CategoryRevenue]" caption="vw_CategoryRevenue"/>
    <dimension name="vw_CustomerRevenue" uniqueName="[vw_CustomerRevenue]" caption="vw_CustomerRevenue"/>
    <dimension name="vw_EmployeePerformance" uniqueName="[vw_EmployeePerformance]" caption="vw_EmployeePerformance"/>
    <dimension name="vw_MonthlyRevenue" uniqueName="[vw_MonthlyRevenue]" caption="vw_MonthlyRevenue"/>
    <dimension name="vw_ProductRevenue" uniqueName="[vw_ProductRevenue]" caption="vw_ProductRevenue"/>
  </dimensions>
  <measureGroups count="5">
    <measureGroup name="vw_CategoryRevenue" caption="vw_CategoryRevenue"/>
    <measureGroup name="vw_CustomerRevenue" caption="vw_CustomerRevenue"/>
    <measureGroup name="vw_EmployeePerformance" caption="vw_EmployeePerformance"/>
    <measureGroup name="vw_MonthlyRevenue" caption="vw_MonthlyRevenue"/>
    <measureGroup name="vw_ProductRevenue" caption="vw_ProductRevenue"/>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refreshedDate="46209.666808680558" backgroundQuery="1" createdVersion="7" refreshedVersion="7" minRefreshableVersion="3" recordCount="0" supportSubquery="1" supportAdvancedDrill="1" xr:uid="{76BC9EC1-042D-43D3-B0C3-63D074D27855}">
  <cacheSource type="external" connectionId="6"/>
  <cacheFields count="2">
    <cacheField name="[Measures].[Sum of Total_Revenue]" caption="Sum of Total_Revenue" numFmtId="0" hierarchy="33" level="32767"/>
    <cacheField name="[vw_MonthlyRevenue].[Month_Name].[Month_Name]" caption="Month_Name" numFmtId="0" hierarchy="17" level="1">
      <sharedItems count="12">
        <s v="April"/>
        <s v="August"/>
        <s v="December"/>
        <s v="February"/>
        <s v="January"/>
        <s v="July"/>
        <s v="June"/>
        <s v="March"/>
        <s v="May"/>
        <s v="November"/>
        <s v="October"/>
        <s v="September"/>
      </sharedItems>
    </cacheField>
  </cacheFields>
  <cacheHierarchies count="41">
    <cacheHierarchy uniqueName="[vw_CategoryRevenue].[CategoryID]" caption="CategoryID" attribute="1" defaultMemberUniqueName="[vw_CategoryRevenue].[CategoryID].[All]" allUniqueName="[vw_CategoryRevenue].[CategoryID].[All]" dimensionUniqueName="[vw_CategoryRevenue]" displayFolder="" count="0" memberValueDatatype="20" unbalanced="0"/>
    <cacheHierarchy uniqueName="[vw_CategoryRevenue].[CategoryName]" caption="CategoryName" attribute="1" defaultMemberUniqueName="[vw_CategoryRevenue].[CategoryName].[All]" allUniqueName="[vw_CategoryRevenue].[CategoryName].[All]" dimensionUniqueName="[vw_CategoryRevenue]" displayFolder="" count="2" memberValueDatatype="130" unbalanced="0"/>
    <cacheHierarchy uniqueName="[vw_CategoryRevenue].[Total_Products]" caption="Total_Products" attribute="1" defaultMemberUniqueName="[vw_CategoryRevenue].[Total_Products].[All]" allUniqueName="[vw_CategoryRevenue].[Total_Products].[All]" dimensionUniqueName="[vw_CategoryRevenue]" displayFolder="" count="0" memberValueDatatype="20" unbalanced="0"/>
    <cacheHierarchy uniqueName="[vw_CategoryRevenue].[Total_Quantity_Sold]" caption="Total_Quantity_Sold" attribute="1" defaultMemberUniqueName="[vw_CategoryRevenue].[Total_Quantity_Sold].[All]" allUniqueName="[vw_CategoryRevenue].[Total_Quantity_Sold].[All]" dimensionUniqueName="[vw_CategoryRevenue]" displayFolder="" count="0" memberValueDatatype="20" unbalanced="0"/>
    <cacheHierarchy uniqueName="[vw_CategoryRevenue].[Total_Revenue]" caption="Total_Revenue" attribute="1" defaultMemberUniqueName="[vw_CategoryRevenue].[Total_Revenue].[All]" allUniqueName="[vw_CategoryRevenue].[Total_Revenue].[All]" dimensionUniqueName="[vw_CategoryRevenue]" displayFolder="" count="0" memberValueDatatype="5" unbalanced="0"/>
    <cacheHierarchy uniqueName="[vw_CategoryRevenue].[Total_Profit]" caption="Total_Profit" attribute="1" defaultMemberUniqueName="[vw_CategoryRevenue].[Total_Profit].[All]" allUniqueName="[vw_CategoryRevenue].[Total_Profit].[All]" dimensionUniqueName="[vw_CategoryRevenue]" displayFolder="" count="0" memberValueDatatype="5" unbalanced="0"/>
    <cacheHierarchy uniqueName="[vw_CustomerRevenue].[CustomerID]" caption="CustomerID" attribute="1" defaultMemberUniqueName="[vw_CustomerRevenue].[CustomerID].[All]" allUniqueName="[vw_CustomerRevenue].[CustomerID].[All]" dimensionUniqueName="[vw_CustomerRevenue]" displayFolder="" count="0" memberValueDatatype="20" unbalanced="0"/>
    <cacheHierarchy uniqueName="[vw_CustomerRevenue].[CustomerName]" caption="CustomerName" attribute="1" defaultMemberUniqueName="[vw_CustomerRevenue].[CustomerName].[All]" allUniqueName="[vw_CustomerRevenue].[CustomerName].[All]" dimensionUniqueName="[vw_CustomerRevenue]" displayFolder="" count="0" memberValueDatatype="130" unbalanced="0"/>
    <cacheHierarchy uniqueName="[vw_CustomerRevenue].[Total_Revenue]" caption="Total_Revenue" attribute="1" defaultMemberUniqueName="[vw_CustomerRevenue].[Total_Revenue].[All]" allUniqueName="[vw_CustomerRevenue].[Total_Revenue].[All]" dimensionUniqueName="[vw_CustomerRevenue]" displayFolder="" count="0" memberValueDatatype="5" unbalanced="0"/>
    <cacheHierarchy uniqueName="[vw_EmployeePerformance].[EmployeeID]" caption="EmployeeID" attribute="1" defaultMemberUniqueName="[vw_EmployeePerformance].[EmployeeID].[All]" allUniqueName="[vw_EmployeePerformance].[EmployeeID].[All]" dimensionUniqueName="[vw_EmployeePerformance]" displayFolder="" count="0" memberValueDatatype="20" unbalanced="0"/>
    <cacheHierarchy uniqueName="[vw_EmployeePerformance].[EmployeeName]" caption="EmployeeName" attribute="1" defaultMemberUniqueName="[vw_EmployeePerformance].[EmployeeName].[All]" allUniqueName="[vw_EmployeePerformance].[EmployeeName].[All]" dimensionUniqueName="[vw_EmployeePerformance]" displayFolder="" count="2" memberValueDatatype="130" unbalanced="0"/>
    <cacheHierarchy uniqueName="[vw_EmployeePerformance].[Total_Orders]" caption="Total_Orders" attribute="1" defaultMemberUniqueName="[vw_EmployeePerformance].[Total_Orders].[All]" allUniqueName="[vw_EmployeePerformance].[Total_Orders].[All]" dimensionUniqueName="[vw_EmployeePerformance]" displayFolder="" count="0" memberValueDatatype="20" unbalanced="0"/>
    <cacheHierarchy uniqueName="[vw_EmployeePerformance].[Total_Quantity_Sold]" caption="Total_Quantity_Sold" attribute="1" defaultMemberUniqueName="[vw_EmployeePerformance].[Total_Quantity_Sold].[All]" allUniqueName="[vw_EmployeePerformance].[Total_Quantity_Sold].[All]" dimensionUniqueName="[vw_EmployeePerformance]" displayFolder="" count="0" memberValueDatatype="20" unbalanced="0"/>
    <cacheHierarchy uniqueName="[vw_EmployeePerformance].[Total_Revenue]" caption="Total_Revenue" attribute="1" defaultMemberUniqueName="[vw_EmployeePerformance].[Total_Revenue].[All]" allUniqueName="[vw_EmployeePerformance].[Total_Revenue].[All]" dimensionUniqueName="[vw_EmployeePerformance]" displayFolder="" count="0" memberValueDatatype="5" unbalanced="0"/>
    <cacheHierarchy uniqueName="[vw_EmployeePerformance].[Total_Profit]" caption="Total_Profit" attribute="1" defaultMemberUniqueName="[vw_EmployeePerformance].[Total_Profit].[All]" allUniqueName="[vw_EmployeePerformance].[Total_Profit].[All]" dimensionUniqueName="[vw_EmployeePerformance]" displayFolder="" count="0" memberValueDatatype="5" unbalanced="0"/>
    <cacheHierarchy uniqueName="[vw_MonthlyRevenue].[Order_Year]" caption="Order_Year" attribute="1" defaultMemberUniqueName="[vw_MonthlyRevenue].[Order_Year].[All]" allUniqueName="[vw_MonthlyRevenue].[Order_Year].[All]" dimensionUniqueName="[vw_MonthlyRevenue]" displayFolder="" count="0" memberValueDatatype="20" unbalanced="0"/>
    <cacheHierarchy uniqueName="[vw_MonthlyRevenue].[Order_Month]" caption="Order_Month" attribute="1" defaultMemberUniqueName="[vw_MonthlyRevenue].[Order_Month].[All]" allUniqueName="[vw_MonthlyRevenue].[Order_Month].[All]" dimensionUniqueName="[vw_MonthlyRevenue]" displayFolder="" count="0" memberValueDatatype="20" unbalanced="0"/>
    <cacheHierarchy uniqueName="[vw_MonthlyRevenue].[Month_Name]" caption="Month_Name" attribute="1" defaultMemberUniqueName="[vw_MonthlyRevenue].[Month_Name].[All]" allUniqueName="[vw_MonthlyRevenue].[Month_Name].[All]" dimensionUniqueName="[vw_MonthlyRevenue]" displayFolder="" count="2" memberValueDatatype="130" unbalanced="0">
      <fieldsUsage count="2">
        <fieldUsage x="-1"/>
        <fieldUsage x="1"/>
      </fieldsUsage>
    </cacheHierarchy>
    <cacheHierarchy uniqueName="[vw_MonthlyRevenue].[Total_Orders]" caption="Total_Orders" attribute="1" defaultMemberUniqueName="[vw_MonthlyRevenue].[Total_Orders].[All]" allUniqueName="[vw_MonthlyRevenue].[Total_Orders].[All]" dimensionUniqueName="[vw_MonthlyRevenue]" displayFolder="" count="0" memberValueDatatype="20" unbalanced="0"/>
    <cacheHierarchy uniqueName="[vw_MonthlyRevenue].[Total_Products_Sold]" caption="Total_Products_Sold" attribute="1" defaultMemberUniqueName="[vw_MonthlyRevenue].[Total_Products_Sold].[All]" allUniqueName="[vw_MonthlyRevenue].[Total_Products_Sold].[All]" dimensionUniqueName="[vw_MonthlyRevenue]" displayFolder="" count="0" memberValueDatatype="20" unbalanced="0"/>
    <cacheHierarchy uniqueName="[vw_MonthlyRevenue].[Total_Revenue]" caption="Total_Revenue" attribute="1" defaultMemberUniqueName="[vw_MonthlyRevenue].[Total_Revenue].[All]" allUniqueName="[vw_MonthlyRevenue].[Total_Revenue].[All]" dimensionUniqueName="[vw_MonthlyRevenue]" displayFolder="" count="0" memberValueDatatype="5" unbalanced="0"/>
    <cacheHierarchy uniqueName="[vw_MonthlyRevenue].[Total_Profit]" caption="Total_Profit" attribute="1" defaultMemberUniqueName="[vw_MonthlyRevenue].[Total_Profit].[All]" allUniqueName="[vw_MonthlyRevenue].[Total_Profit].[All]" dimensionUniqueName="[vw_MonthlyRevenue]" displayFolder="" count="0" memberValueDatatype="5" unbalanced="0"/>
    <cacheHierarchy uniqueName="[vw_ProductRevenue].[ProductID]" caption="ProductID" attribute="1" defaultMemberUniqueName="[vw_ProductRevenue].[ProductID].[All]" allUniqueName="[vw_ProductRevenue].[ProductID].[All]" dimensionUniqueName="[vw_ProductRevenue]" displayFolder="" count="0" memberValueDatatype="20" unbalanced="0"/>
    <cacheHierarchy uniqueName="[vw_ProductRevenue].[ProductName]" caption="ProductName" attribute="1" defaultMemberUniqueName="[vw_ProductRevenue].[ProductName].[All]" allUniqueName="[vw_ProductRevenue].[ProductName].[All]" dimensionUniqueName="[vw_ProductRevenue]" displayFolder="" count="0" memberValueDatatype="130" unbalanced="0"/>
    <cacheHierarchy uniqueName="[vw_ProductRevenue].[CategoryName]" caption="CategoryName" attribute="1" defaultMemberUniqueName="[vw_ProductRevenue].[CategoryName].[All]" allUniqueName="[vw_ProductRevenue].[CategoryName].[All]" dimensionUniqueName="[vw_ProductRevenue]" displayFolder="" count="0" memberValueDatatype="130" unbalanced="0"/>
    <cacheHierarchy uniqueName="[vw_ProductRevenue].[Total_Quantity_Sold]" caption="Total_Quantity_Sold" attribute="1" defaultMemberUniqueName="[vw_ProductRevenue].[Total_Quantity_Sold].[All]" allUniqueName="[vw_ProductRevenue].[Total_Quantity_Sold].[All]" dimensionUniqueName="[vw_ProductRevenue]" displayFolder="" count="0" memberValueDatatype="20" unbalanced="0"/>
    <cacheHierarchy uniqueName="[vw_ProductRevenue].[Total_Revenue]" caption="Total_Revenue" attribute="1" defaultMemberUniqueName="[vw_ProductRevenue].[Total_Revenue].[All]" allUniqueName="[vw_ProductRevenue].[Total_Revenue].[All]" dimensionUniqueName="[vw_ProductRevenue]" displayFolder="" count="0" memberValueDatatype="5" unbalanced="0"/>
    <cacheHierarchy uniqueName="[Measures].[__XL_Count vw_CategoryRevenue]" caption="__XL_Count vw_CategoryRevenue" measure="1" displayFolder="" measureGroup="vw_CategoryRevenue" count="0" hidden="1"/>
    <cacheHierarchy uniqueName="[Measures].[__XL_Count vw_CustomerRevenue]" caption="__XL_Count vw_CustomerRevenue" measure="1" displayFolder="" measureGroup="vw_CustomerRevenue" count="0" hidden="1"/>
    <cacheHierarchy uniqueName="[Measures].[__XL_Count vw_EmployeePerformance]" caption="__XL_Count vw_EmployeePerformance" measure="1" displayFolder="" measureGroup="vw_EmployeePerformance" count="0" hidden="1"/>
    <cacheHierarchy uniqueName="[Measures].[__XL_Count vw_MonthlyRevenue]" caption="__XL_Count vw_MonthlyRevenue" measure="1" displayFolder="" measureGroup="vw_MonthlyRevenue" count="0" hidden="1"/>
    <cacheHierarchy uniqueName="[Measures].[__XL_Count vw_ProductRevenue]" caption="__XL_Count vw_ProductRevenue" measure="1" displayFolder="" measureGroup="vw_ProductRevenue" count="0" hidden="1"/>
    <cacheHierarchy uniqueName="[Measures].[__No measures defined]" caption="__No measures defined" measure="1" displayFolder="" count="0" hidden="1"/>
    <cacheHierarchy uniqueName="[Measures].[Sum of Total_Revenue]" caption="Sum of Total_Revenue" measure="1" displayFolder="" measureGroup="vw_MonthlyRevenu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Total_Profit]" caption="Sum of Total_Profit" measure="1" displayFolder="" measureGroup="vw_MonthlyRevenue" count="0" hidden="1">
      <extLst>
        <ext xmlns:x15="http://schemas.microsoft.com/office/spreadsheetml/2010/11/main" uri="{B97F6D7D-B522-45F9-BDA1-12C45D357490}">
          <x15:cacheHierarchy aggregatedColumn="21"/>
        </ext>
      </extLst>
    </cacheHierarchy>
    <cacheHierarchy uniqueName="[Measures].[Sum of Total_Orders]" caption="Sum of Total_Orders" measure="1" displayFolder="" measureGroup="vw_MonthlyRevenue" count="0" hidden="1">
      <extLst>
        <ext xmlns:x15="http://schemas.microsoft.com/office/spreadsheetml/2010/11/main" uri="{B97F6D7D-B522-45F9-BDA1-12C45D357490}">
          <x15:cacheHierarchy aggregatedColumn="18"/>
        </ext>
      </extLst>
    </cacheHierarchy>
    <cacheHierarchy uniqueName="[Measures].[Count of Total_Orders]" caption="Count of Total_Orders" measure="1" displayFolder="" measureGroup="vw_MonthlyRevenue" count="0" hidden="1">
      <extLst>
        <ext xmlns:x15="http://schemas.microsoft.com/office/spreadsheetml/2010/11/main" uri="{B97F6D7D-B522-45F9-BDA1-12C45D357490}">
          <x15:cacheHierarchy aggregatedColumn="18"/>
        </ext>
      </extLst>
    </cacheHierarchy>
    <cacheHierarchy uniqueName="[Measures].[Sum of Total_Products_Sold]" caption="Sum of Total_Products_Sold" measure="1" displayFolder="" measureGroup="vw_MonthlyRevenue" count="0" hidden="1">
      <extLst>
        <ext xmlns:x15="http://schemas.microsoft.com/office/spreadsheetml/2010/11/main" uri="{B97F6D7D-B522-45F9-BDA1-12C45D357490}">
          <x15:cacheHierarchy aggregatedColumn="19"/>
        </ext>
      </extLst>
    </cacheHierarchy>
    <cacheHierarchy uniqueName="[Measures].[Count of Total_Products_Sold]" caption="Count of Total_Products_Sold" measure="1" displayFolder="" measureGroup="vw_MonthlyRevenue"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vw_CustomerRevenue"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vw_CustomerRevenue" count="0" hidden="1">
      <extLst>
        <ext xmlns:x15="http://schemas.microsoft.com/office/spreadsheetml/2010/11/main" uri="{B97F6D7D-B522-45F9-BDA1-12C45D357490}">
          <x15:cacheHierarchy aggregatedColumn="6"/>
        </ext>
      </extLst>
    </cacheHierarchy>
  </cacheHierarchies>
  <kpis count="0"/>
  <dimensions count="6">
    <dimension measure="1" name="Measures" uniqueName="[Measures]" caption="Measures"/>
    <dimension name="vw_CategoryRevenue" uniqueName="[vw_CategoryRevenue]" caption="vw_CategoryRevenue"/>
    <dimension name="vw_CustomerRevenue" uniqueName="[vw_CustomerRevenue]" caption="vw_CustomerRevenue"/>
    <dimension name="vw_EmployeePerformance" uniqueName="[vw_EmployeePerformance]" caption="vw_EmployeePerformance"/>
    <dimension name="vw_MonthlyRevenue" uniqueName="[vw_MonthlyRevenue]" caption="vw_MonthlyRevenue"/>
    <dimension name="vw_ProductRevenue" uniqueName="[vw_ProductRevenue]" caption="vw_ProductRevenue"/>
  </dimensions>
  <measureGroups count="5">
    <measureGroup name="vw_CategoryRevenue" caption="vw_CategoryRevenue"/>
    <measureGroup name="vw_CustomerRevenue" caption="vw_CustomerRevenue"/>
    <measureGroup name="vw_EmployeePerformance" caption="vw_EmployeePerformance"/>
    <measureGroup name="vw_MonthlyRevenue" caption="vw_MonthlyRevenue"/>
    <measureGroup name="vw_ProductRevenue" caption="vw_ProductRevenue"/>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refreshedDate="46209.666809027774" backgroundQuery="1" createdVersion="7" refreshedVersion="7" minRefreshableVersion="3" recordCount="0" supportSubquery="1" supportAdvancedDrill="1" xr:uid="{63B81675-315B-4AA8-94FF-FFAAFC64EB21}">
  <cacheSource type="external" connectionId="6"/>
  <cacheFields count="3">
    <cacheField name="[Measures].[Sum of Total_Revenue]" caption="Sum of Total_Revenue" numFmtId="0" hierarchy="33" level="32767"/>
    <cacheField name="[vw_MonthlyRevenue].[Month_Name].[Month_Name]" caption="Month_Name" numFmtId="0" hierarchy="17" level="1">
      <sharedItems count="12">
        <s v="April"/>
        <s v="August"/>
        <s v="December"/>
        <s v="February"/>
        <s v="January"/>
        <s v="July"/>
        <s v="June"/>
        <s v="March"/>
        <s v="May"/>
        <s v="November"/>
        <s v="October"/>
        <s v="September"/>
      </sharedItems>
    </cacheField>
    <cacheField name="[vw_CategoryRevenue].[CategoryName].[CategoryName]" caption="CategoryName" numFmtId="0" hierarchy="1" level="1">
      <sharedItems count="9">
        <s v="Accessories"/>
        <s v="Furniture"/>
        <s v="Laptops"/>
        <s v="Mobiles"/>
        <s v="Monitors"/>
        <s v="Networking"/>
        <s v="Printers"/>
        <s v="Storage"/>
        <s v="Tablets"/>
      </sharedItems>
    </cacheField>
  </cacheFields>
  <cacheHierarchies count="41">
    <cacheHierarchy uniqueName="[vw_CategoryRevenue].[CategoryID]" caption="CategoryID" attribute="1" defaultMemberUniqueName="[vw_CategoryRevenue].[CategoryID].[All]" allUniqueName="[vw_CategoryRevenue].[CategoryID].[All]" dimensionUniqueName="[vw_CategoryRevenue]" displayFolder="" count="0" memberValueDatatype="20" unbalanced="0"/>
    <cacheHierarchy uniqueName="[vw_CategoryRevenue].[CategoryName]" caption="CategoryName" attribute="1" defaultMemberUniqueName="[vw_CategoryRevenue].[CategoryName].[All]" allUniqueName="[vw_CategoryRevenue].[CategoryName].[All]" dimensionUniqueName="[vw_CategoryRevenue]" displayFolder="" count="2" memberValueDatatype="130" unbalanced="0">
      <fieldsUsage count="2">
        <fieldUsage x="-1"/>
        <fieldUsage x="2"/>
      </fieldsUsage>
    </cacheHierarchy>
    <cacheHierarchy uniqueName="[vw_CategoryRevenue].[Total_Products]" caption="Total_Products" attribute="1" defaultMemberUniqueName="[vw_CategoryRevenue].[Total_Products].[All]" allUniqueName="[vw_CategoryRevenue].[Total_Products].[All]" dimensionUniqueName="[vw_CategoryRevenue]" displayFolder="" count="0" memberValueDatatype="20" unbalanced="0"/>
    <cacheHierarchy uniqueName="[vw_CategoryRevenue].[Total_Quantity_Sold]" caption="Total_Quantity_Sold" attribute="1" defaultMemberUniqueName="[vw_CategoryRevenue].[Total_Quantity_Sold].[All]" allUniqueName="[vw_CategoryRevenue].[Total_Quantity_Sold].[All]" dimensionUniqueName="[vw_CategoryRevenue]" displayFolder="" count="0" memberValueDatatype="20" unbalanced="0"/>
    <cacheHierarchy uniqueName="[vw_CategoryRevenue].[Total_Revenue]" caption="Total_Revenue" attribute="1" defaultMemberUniqueName="[vw_CategoryRevenue].[Total_Revenue].[All]" allUniqueName="[vw_CategoryRevenue].[Total_Revenue].[All]" dimensionUniqueName="[vw_CategoryRevenue]" displayFolder="" count="0" memberValueDatatype="5" unbalanced="0"/>
    <cacheHierarchy uniqueName="[vw_CategoryRevenue].[Total_Profit]" caption="Total_Profit" attribute="1" defaultMemberUniqueName="[vw_CategoryRevenue].[Total_Profit].[All]" allUniqueName="[vw_CategoryRevenue].[Total_Profit].[All]" dimensionUniqueName="[vw_CategoryRevenue]" displayFolder="" count="0" memberValueDatatype="5" unbalanced="0"/>
    <cacheHierarchy uniqueName="[vw_CustomerRevenue].[CustomerID]" caption="CustomerID" attribute="1" defaultMemberUniqueName="[vw_CustomerRevenue].[CustomerID].[All]" allUniqueName="[vw_CustomerRevenue].[CustomerID].[All]" dimensionUniqueName="[vw_CustomerRevenue]" displayFolder="" count="0" memberValueDatatype="20" unbalanced="0"/>
    <cacheHierarchy uniqueName="[vw_CustomerRevenue].[CustomerName]" caption="CustomerName" attribute="1" defaultMemberUniqueName="[vw_CustomerRevenue].[CustomerName].[All]" allUniqueName="[vw_CustomerRevenue].[CustomerName].[All]" dimensionUniqueName="[vw_CustomerRevenue]" displayFolder="" count="0" memberValueDatatype="130" unbalanced="0"/>
    <cacheHierarchy uniqueName="[vw_CustomerRevenue].[Total_Revenue]" caption="Total_Revenue" attribute="1" defaultMemberUniqueName="[vw_CustomerRevenue].[Total_Revenue].[All]" allUniqueName="[vw_CustomerRevenue].[Total_Revenue].[All]" dimensionUniqueName="[vw_CustomerRevenue]" displayFolder="" count="0" memberValueDatatype="5" unbalanced="0"/>
    <cacheHierarchy uniqueName="[vw_EmployeePerformance].[EmployeeID]" caption="EmployeeID" attribute="1" defaultMemberUniqueName="[vw_EmployeePerformance].[EmployeeID].[All]" allUniqueName="[vw_EmployeePerformance].[EmployeeID].[All]" dimensionUniqueName="[vw_EmployeePerformance]" displayFolder="" count="0" memberValueDatatype="20" unbalanced="0"/>
    <cacheHierarchy uniqueName="[vw_EmployeePerformance].[EmployeeName]" caption="EmployeeName" attribute="1" defaultMemberUniqueName="[vw_EmployeePerformance].[EmployeeName].[All]" allUniqueName="[vw_EmployeePerformance].[EmployeeName].[All]" dimensionUniqueName="[vw_EmployeePerformance]" displayFolder="" count="2" memberValueDatatype="130" unbalanced="0"/>
    <cacheHierarchy uniqueName="[vw_EmployeePerformance].[Total_Orders]" caption="Total_Orders" attribute="1" defaultMemberUniqueName="[vw_EmployeePerformance].[Total_Orders].[All]" allUniqueName="[vw_EmployeePerformance].[Total_Orders].[All]" dimensionUniqueName="[vw_EmployeePerformance]" displayFolder="" count="0" memberValueDatatype="20" unbalanced="0"/>
    <cacheHierarchy uniqueName="[vw_EmployeePerformance].[Total_Quantity_Sold]" caption="Total_Quantity_Sold" attribute="1" defaultMemberUniqueName="[vw_EmployeePerformance].[Total_Quantity_Sold].[All]" allUniqueName="[vw_EmployeePerformance].[Total_Quantity_Sold].[All]" dimensionUniqueName="[vw_EmployeePerformance]" displayFolder="" count="0" memberValueDatatype="20" unbalanced="0"/>
    <cacheHierarchy uniqueName="[vw_EmployeePerformance].[Total_Revenue]" caption="Total_Revenue" attribute="1" defaultMemberUniqueName="[vw_EmployeePerformance].[Total_Revenue].[All]" allUniqueName="[vw_EmployeePerformance].[Total_Revenue].[All]" dimensionUniqueName="[vw_EmployeePerformance]" displayFolder="" count="0" memberValueDatatype="5" unbalanced="0"/>
    <cacheHierarchy uniqueName="[vw_EmployeePerformance].[Total_Profit]" caption="Total_Profit" attribute="1" defaultMemberUniqueName="[vw_EmployeePerformance].[Total_Profit].[All]" allUniqueName="[vw_EmployeePerformance].[Total_Profit].[All]" dimensionUniqueName="[vw_EmployeePerformance]" displayFolder="" count="0" memberValueDatatype="5" unbalanced="0"/>
    <cacheHierarchy uniqueName="[vw_MonthlyRevenue].[Order_Year]" caption="Order_Year" attribute="1" defaultMemberUniqueName="[vw_MonthlyRevenue].[Order_Year].[All]" allUniqueName="[vw_MonthlyRevenue].[Order_Year].[All]" dimensionUniqueName="[vw_MonthlyRevenue]" displayFolder="" count="0" memberValueDatatype="20" unbalanced="0"/>
    <cacheHierarchy uniqueName="[vw_MonthlyRevenue].[Order_Month]" caption="Order_Month" attribute="1" defaultMemberUniqueName="[vw_MonthlyRevenue].[Order_Month].[All]" allUniqueName="[vw_MonthlyRevenue].[Order_Month].[All]" dimensionUniqueName="[vw_MonthlyRevenue]" displayFolder="" count="0" memberValueDatatype="20" unbalanced="0"/>
    <cacheHierarchy uniqueName="[vw_MonthlyRevenue].[Month_Name]" caption="Month_Name" attribute="1" defaultMemberUniqueName="[vw_MonthlyRevenue].[Month_Name].[All]" allUniqueName="[vw_MonthlyRevenue].[Month_Name].[All]" dimensionUniqueName="[vw_MonthlyRevenue]" displayFolder="" count="2" memberValueDatatype="130" unbalanced="0">
      <fieldsUsage count="2">
        <fieldUsage x="-1"/>
        <fieldUsage x="1"/>
      </fieldsUsage>
    </cacheHierarchy>
    <cacheHierarchy uniqueName="[vw_MonthlyRevenue].[Total_Orders]" caption="Total_Orders" attribute="1" defaultMemberUniqueName="[vw_MonthlyRevenue].[Total_Orders].[All]" allUniqueName="[vw_MonthlyRevenue].[Total_Orders].[All]" dimensionUniqueName="[vw_MonthlyRevenue]" displayFolder="" count="0" memberValueDatatype="20" unbalanced="0"/>
    <cacheHierarchy uniqueName="[vw_MonthlyRevenue].[Total_Products_Sold]" caption="Total_Products_Sold" attribute="1" defaultMemberUniqueName="[vw_MonthlyRevenue].[Total_Products_Sold].[All]" allUniqueName="[vw_MonthlyRevenue].[Total_Products_Sold].[All]" dimensionUniqueName="[vw_MonthlyRevenue]" displayFolder="" count="0" memberValueDatatype="20" unbalanced="0"/>
    <cacheHierarchy uniqueName="[vw_MonthlyRevenue].[Total_Revenue]" caption="Total_Revenue" attribute="1" defaultMemberUniqueName="[vw_MonthlyRevenue].[Total_Revenue].[All]" allUniqueName="[vw_MonthlyRevenue].[Total_Revenue].[All]" dimensionUniqueName="[vw_MonthlyRevenue]" displayFolder="" count="0" memberValueDatatype="5" unbalanced="0"/>
    <cacheHierarchy uniqueName="[vw_MonthlyRevenue].[Total_Profit]" caption="Total_Profit" attribute="1" defaultMemberUniqueName="[vw_MonthlyRevenue].[Total_Profit].[All]" allUniqueName="[vw_MonthlyRevenue].[Total_Profit].[All]" dimensionUniqueName="[vw_MonthlyRevenue]" displayFolder="" count="0" memberValueDatatype="5" unbalanced="0"/>
    <cacheHierarchy uniqueName="[vw_ProductRevenue].[ProductID]" caption="ProductID" attribute="1" defaultMemberUniqueName="[vw_ProductRevenue].[ProductID].[All]" allUniqueName="[vw_ProductRevenue].[ProductID].[All]" dimensionUniqueName="[vw_ProductRevenue]" displayFolder="" count="0" memberValueDatatype="20" unbalanced="0"/>
    <cacheHierarchy uniqueName="[vw_ProductRevenue].[ProductName]" caption="ProductName" attribute="1" defaultMemberUniqueName="[vw_ProductRevenue].[ProductName].[All]" allUniqueName="[vw_ProductRevenue].[ProductName].[All]" dimensionUniqueName="[vw_ProductRevenue]" displayFolder="" count="0" memberValueDatatype="130" unbalanced="0"/>
    <cacheHierarchy uniqueName="[vw_ProductRevenue].[CategoryName]" caption="CategoryName" attribute="1" defaultMemberUniqueName="[vw_ProductRevenue].[CategoryName].[All]" allUniqueName="[vw_ProductRevenue].[CategoryName].[All]" dimensionUniqueName="[vw_ProductRevenue]" displayFolder="" count="0" memberValueDatatype="130" unbalanced="0"/>
    <cacheHierarchy uniqueName="[vw_ProductRevenue].[Total_Quantity_Sold]" caption="Total_Quantity_Sold" attribute="1" defaultMemberUniqueName="[vw_ProductRevenue].[Total_Quantity_Sold].[All]" allUniqueName="[vw_ProductRevenue].[Total_Quantity_Sold].[All]" dimensionUniqueName="[vw_ProductRevenue]" displayFolder="" count="0" memberValueDatatype="20" unbalanced="0"/>
    <cacheHierarchy uniqueName="[vw_ProductRevenue].[Total_Revenue]" caption="Total_Revenue" attribute="1" defaultMemberUniqueName="[vw_ProductRevenue].[Total_Revenue].[All]" allUniqueName="[vw_ProductRevenue].[Total_Revenue].[All]" dimensionUniqueName="[vw_ProductRevenue]" displayFolder="" count="0" memberValueDatatype="5" unbalanced="0"/>
    <cacheHierarchy uniqueName="[Measures].[__XL_Count vw_CategoryRevenue]" caption="__XL_Count vw_CategoryRevenue" measure="1" displayFolder="" measureGroup="vw_CategoryRevenue" count="0" hidden="1"/>
    <cacheHierarchy uniqueName="[Measures].[__XL_Count vw_CustomerRevenue]" caption="__XL_Count vw_CustomerRevenue" measure="1" displayFolder="" measureGroup="vw_CustomerRevenue" count="0" hidden="1"/>
    <cacheHierarchy uniqueName="[Measures].[__XL_Count vw_EmployeePerformance]" caption="__XL_Count vw_EmployeePerformance" measure="1" displayFolder="" measureGroup="vw_EmployeePerformance" count="0" hidden="1"/>
    <cacheHierarchy uniqueName="[Measures].[__XL_Count vw_MonthlyRevenue]" caption="__XL_Count vw_MonthlyRevenue" measure="1" displayFolder="" measureGroup="vw_MonthlyRevenue" count="0" hidden="1"/>
    <cacheHierarchy uniqueName="[Measures].[__XL_Count vw_ProductRevenue]" caption="__XL_Count vw_ProductRevenue" measure="1" displayFolder="" measureGroup="vw_ProductRevenue" count="0" hidden="1"/>
    <cacheHierarchy uniqueName="[Measures].[__No measures defined]" caption="__No measures defined" measure="1" displayFolder="" count="0" hidden="1"/>
    <cacheHierarchy uniqueName="[Measures].[Sum of Total_Revenue]" caption="Sum of Total_Revenue" measure="1" displayFolder="" measureGroup="vw_MonthlyRevenu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Total_Profit]" caption="Sum of Total_Profit" measure="1" displayFolder="" measureGroup="vw_MonthlyRevenue" count="0" hidden="1">
      <extLst>
        <ext xmlns:x15="http://schemas.microsoft.com/office/spreadsheetml/2010/11/main" uri="{B97F6D7D-B522-45F9-BDA1-12C45D357490}">
          <x15:cacheHierarchy aggregatedColumn="21"/>
        </ext>
      </extLst>
    </cacheHierarchy>
    <cacheHierarchy uniqueName="[Measures].[Sum of Total_Orders]" caption="Sum of Total_Orders" measure="1" displayFolder="" measureGroup="vw_MonthlyRevenue" count="0" hidden="1">
      <extLst>
        <ext xmlns:x15="http://schemas.microsoft.com/office/spreadsheetml/2010/11/main" uri="{B97F6D7D-B522-45F9-BDA1-12C45D357490}">
          <x15:cacheHierarchy aggregatedColumn="18"/>
        </ext>
      </extLst>
    </cacheHierarchy>
    <cacheHierarchy uniqueName="[Measures].[Count of Total_Orders]" caption="Count of Total_Orders" measure="1" displayFolder="" measureGroup="vw_MonthlyRevenue" count="0" hidden="1">
      <extLst>
        <ext xmlns:x15="http://schemas.microsoft.com/office/spreadsheetml/2010/11/main" uri="{B97F6D7D-B522-45F9-BDA1-12C45D357490}">
          <x15:cacheHierarchy aggregatedColumn="18"/>
        </ext>
      </extLst>
    </cacheHierarchy>
    <cacheHierarchy uniqueName="[Measures].[Sum of Total_Products_Sold]" caption="Sum of Total_Products_Sold" measure="1" displayFolder="" measureGroup="vw_MonthlyRevenue" count="0" hidden="1">
      <extLst>
        <ext xmlns:x15="http://schemas.microsoft.com/office/spreadsheetml/2010/11/main" uri="{B97F6D7D-B522-45F9-BDA1-12C45D357490}">
          <x15:cacheHierarchy aggregatedColumn="19"/>
        </ext>
      </extLst>
    </cacheHierarchy>
    <cacheHierarchy uniqueName="[Measures].[Count of Total_Products_Sold]" caption="Count of Total_Products_Sold" measure="1" displayFolder="" measureGroup="vw_MonthlyRevenue"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vw_CustomerRevenue"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vw_CustomerRevenue" count="0" hidden="1">
      <extLst>
        <ext xmlns:x15="http://schemas.microsoft.com/office/spreadsheetml/2010/11/main" uri="{B97F6D7D-B522-45F9-BDA1-12C45D357490}">
          <x15:cacheHierarchy aggregatedColumn="6"/>
        </ext>
      </extLst>
    </cacheHierarchy>
  </cacheHierarchies>
  <kpis count="0"/>
  <dimensions count="6">
    <dimension measure="1" name="Measures" uniqueName="[Measures]" caption="Measures"/>
    <dimension name="vw_CategoryRevenue" uniqueName="[vw_CategoryRevenue]" caption="vw_CategoryRevenue"/>
    <dimension name="vw_CustomerRevenue" uniqueName="[vw_CustomerRevenue]" caption="vw_CustomerRevenue"/>
    <dimension name="vw_EmployeePerformance" uniqueName="[vw_EmployeePerformance]" caption="vw_EmployeePerformance"/>
    <dimension name="vw_MonthlyRevenue" uniqueName="[vw_MonthlyRevenue]" caption="vw_MonthlyRevenue"/>
    <dimension name="vw_ProductRevenue" uniqueName="[vw_ProductRevenue]" caption="vw_ProductRevenue"/>
  </dimensions>
  <measureGroups count="5">
    <measureGroup name="vw_CategoryRevenue" caption="vw_CategoryRevenue"/>
    <measureGroup name="vw_CustomerRevenue" caption="vw_CustomerRevenue"/>
    <measureGroup name="vw_EmployeePerformance" caption="vw_EmployeePerformance"/>
    <measureGroup name="vw_MonthlyRevenue" caption="vw_MonthlyRevenue"/>
    <measureGroup name="vw_ProductRevenue" caption="vw_ProductRevenue"/>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refreshedDate="46209.666809374998" backgroundQuery="1" createdVersion="7" refreshedVersion="7" minRefreshableVersion="3" recordCount="0" supportSubquery="1" supportAdvancedDrill="1" xr:uid="{59B87B82-BE65-4A49-9161-F400ACE48E0F}">
  <cacheSource type="external" connectionId="6"/>
  <cacheFields count="3">
    <cacheField name="[Measures].[Sum of Total_Revenue]" caption="Sum of Total_Revenue" numFmtId="0" hierarchy="33" level="32767"/>
    <cacheField name="[vw_MonthlyRevenue].[Month_Name].[Month_Name]" caption="Month_Name" numFmtId="0" hierarchy="17" level="1">
      <sharedItems count="12">
        <s v="April"/>
        <s v="August"/>
        <s v="December"/>
        <s v="February"/>
        <s v="January"/>
        <s v="July"/>
        <s v="June"/>
        <s v="March"/>
        <s v="May"/>
        <s v="November"/>
        <s v="October"/>
        <s v="September"/>
      </sharedItems>
    </cacheField>
    <cacheField name="[vw_ProductRevenue].[ProductName].[ProductName]" caption="ProductName" numFmtId="0" hierarchy="23" level="1">
      <sharedItems count="10">
        <s v="Acer Aspire 7"/>
        <s v="Canon Pixma G3010"/>
        <s v="Cosmic Byte Gaming Mouse"/>
        <s v="Dell Inspiron 15"/>
        <s v="Epson EcoTank L3250"/>
        <s v="HP Pavilion 15"/>
        <s v="HP Wired Keyboard"/>
        <s v="JBL Headphones"/>
        <s v="Lenovo IdeaPad Slim 5"/>
        <s v="LG UltraWide Monitor 27&quot;"/>
      </sharedItems>
    </cacheField>
  </cacheFields>
  <cacheHierarchies count="41">
    <cacheHierarchy uniqueName="[vw_CategoryRevenue].[CategoryID]" caption="CategoryID" attribute="1" defaultMemberUniqueName="[vw_CategoryRevenue].[CategoryID].[All]" allUniqueName="[vw_CategoryRevenue].[CategoryID].[All]" dimensionUniqueName="[vw_CategoryRevenue]" displayFolder="" count="0" memberValueDatatype="20" unbalanced="0"/>
    <cacheHierarchy uniqueName="[vw_CategoryRevenue].[CategoryName]" caption="CategoryName" attribute="1" defaultMemberUniqueName="[vw_CategoryRevenue].[CategoryName].[All]" allUniqueName="[vw_CategoryRevenue].[CategoryName].[All]" dimensionUniqueName="[vw_CategoryRevenue]" displayFolder="" count="2" memberValueDatatype="130" unbalanced="0"/>
    <cacheHierarchy uniqueName="[vw_CategoryRevenue].[Total_Products]" caption="Total_Products" attribute="1" defaultMemberUniqueName="[vw_CategoryRevenue].[Total_Products].[All]" allUniqueName="[vw_CategoryRevenue].[Total_Products].[All]" dimensionUniqueName="[vw_CategoryRevenue]" displayFolder="" count="0" memberValueDatatype="20" unbalanced="0"/>
    <cacheHierarchy uniqueName="[vw_CategoryRevenue].[Total_Quantity_Sold]" caption="Total_Quantity_Sold" attribute="1" defaultMemberUniqueName="[vw_CategoryRevenue].[Total_Quantity_Sold].[All]" allUniqueName="[vw_CategoryRevenue].[Total_Quantity_Sold].[All]" dimensionUniqueName="[vw_CategoryRevenue]" displayFolder="" count="0" memberValueDatatype="20" unbalanced="0"/>
    <cacheHierarchy uniqueName="[vw_CategoryRevenue].[Total_Revenue]" caption="Total_Revenue" attribute="1" defaultMemberUniqueName="[vw_CategoryRevenue].[Total_Revenue].[All]" allUniqueName="[vw_CategoryRevenue].[Total_Revenue].[All]" dimensionUniqueName="[vw_CategoryRevenue]" displayFolder="" count="0" memberValueDatatype="5" unbalanced="0"/>
    <cacheHierarchy uniqueName="[vw_CategoryRevenue].[Total_Profit]" caption="Total_Profit" attribute="1" defaultMemberUniqueName="[vw_CategoryRevenue].[Total_Profit].[All]" allUniqueName="[vw_CategoryRevenue].[Total_Profit].[All]" dimensionUniqueName="[vw_CategoryRevenue]" displayFolder="" count="0" memberValueDatatype="5" unbalanced="0"/>
    <cacheHierarchy uniqueName="[vw_CustomerRevenue].[CustomerID]" caption="CustomerID" attribute="1" defaultMemberUniqueName="[vw_CustomerRevenue].[CustomerID].[All]" allUniqueName="[vw_CustomerRevenue].[CustomerID].[All]" dimensionUniqueName="[vw_CustomerRevenue]" displayFolder="" count="0" memberValueDatatype="20" unbalanced="0"/>
    <cacheHierarchy uniqueName="[vw_CustomerRevenue].[CustomerName]" caption="CustomerName" attribute="1" defaultMemberUniqueName="[vw_CustomerRevenue].[CustomerName].[All]" allUniqueName="[vw_CustomerRevenue].[CustomerName].[All]" dimensionUniqueName="[vw_CustomerRevenue]" displayFolder="" count="0" memberValueDatatype="130" unbalanced="0"/>
    <cacheHierarchy uniqueName="[vw_CustomerRevenue].[Total_Revenue]" caption="Total_Revenue" attribute="1" defaultMemberUniqueName="[vw_CustomerRevenue].[Total_Revenue].[All]" allUniqueName="[vw_CustomerRevenue].[Total_Revenue].[All]" dimensionUniqueName="[vw_CustomerRevenue]" displayFolder="" count="0" memberValueDatatype="5" unbalanced="0"/>
    <cacheHierarchy uniqueName="[vw_EmployeePerformance].[EmployeeID]" caption="EmployeeID" attribute="1" defaultMemberUniqueName="[vw_EmployeePerformance].[EmployeeID].[All]" allUniqueName="[vw_EmployeePerformance].[EmployeeID].[All]" dimensionUniqueName="[vw_EmployeePerformance]" displayFolder="" count="0" memberValueDatatype="20" unbalanced="0"/>
    <cacheHierarchy uniqueName="[vw_EmployeePerformance].[EmployeeName]" caption="EmployeeName" attribute="1" defaultMemberUniqueName="[vw_EmployeePerformance].[EmployeeName].[All]" allUniqueName="[vw_EmployeePerformance].[EmployeeName].[All]" dimensionUniqueName="[vw_EmployeePerformance]" displayFolder="" count="2" memberValueDatatype="130" unbalanced="0"/>
    <cacheHierarchy uniqueName="[vw_EmployeePerformance].[Total_Orders]" caption="Total_Orders" attribute="1" defaultMemberUniqueName="[vw_EmployeePerformance].[Total_Orders].[All]" allUniqueName="[vw_EmployeePerformance].[Total_Orders].[All]" dimensionUniqueName="[vw_EmployeePerformance]" displayFolder="" count="0" memberValueDatatype="20" unbalanced="0"/>
    <cacheHierarchy uniqueName="[vw_EmployeePerformance].[Total_Quantity_Sold]" caption="Total_Quantity_Sold" attribute="1" defaultMemberUniqueName="[vw_EmployeePerformance].[Total_Quantity_Sold].[All]" allUniqueName="[vw_EmployeePerformance].[Total_Quantity_Sold].[All]" dimensionUniqueName="[vw_EmployeePerformance]" displayFolder="" count="0" memberValueDatatype="20" unbalanced="0"/>
    <cacheHierarchy uniqueName="[vw_EmployeePerformance].[Total_Revenue]" caption="Total_Revenue" attribute="1" defaultMemberUniqueName="[vw_EmployeePerformance].[Total_Revenue].[All]" allUniqueName="[vw_EmployeePerformance].[Total_Revenue].[All]" dimensionUniqueName="[vw_EmployeePerformance]" displayFolder="" count="0" memberValueDatatype="5" unbalanced="0"/>
    <cacheHierarchy uniqueName="[vw_EmployeePerformance].[Total_Profit]" caption="Total_Profit" attribute="1" defaultMemberUniqueName="[vw_EmployeePerformance].[Total_Profit].[All]" allUniqueName="[vw_EmployeePerformance].[Total_Profit].[All]" dimensionUniqueName="[vw_EmployeePerformance]" displayFolder="" count="0" memberValueDatatype="5" unbalanced="0"/>
    <cacheHierarchy uniqueName="[vw_MonthlyRevenue].[Order_Year]" caption="Order_Year" attribute="1" defaultMemberUniqueName="[vw_MonthlyRevenue].[Order_Year].[All]" allUniqueName="[vw_MonthlyRevenue].[Order_Year].[All]" dimensionUniqueName="[vw_MonthlyRevenue]" displayFolder="" count="0" memberValueDatatype="20" unbalanced="0"/>
    <cacheHierarchy uniqueName="[vw_MonthlyRevenue].[Order_Month]" caption="Order_Month" attribute="1" defaultMemberUniqueName="[vw_MonthlyRevenue].[Order_Month].[All]" allUniqueName="[vw_MonthlyRevenue].[Order_Month].[All]" dimensionUniqueName="[vw_MonthlyRevenue]" displayFolder="" count="0" memberValueDatatype="20" unbalanced="0"/>
    <cacheHierarchy uniqueName="[vw_MonthlyRevenue].[Month_Name]" caption="Month_Name" attribute="1" defaultMemberUniqueName="[vw_MonthlyRevenue].[Month_Name].[All]" allUniqueName="[vw_MonthlyRevenue].[Month_Name].[All]" dimensionUniqueName="[vw_MonthlyRevenue]" displayFolder="" count="2" memberValueDatatype="130" unbalanced="0">
      <fieldsUsage count="2">
        <fieldUsage x="-1"/>
        <fieldUsage x="1"/>
      </fieldsUsage>
    </cacheHierarchy>
    <cacheHierarchy uniqueName="[vw_MonthlyRevenue].[Total_Orders]" caption="Total_Orders" attribute="1" defaultMemberUniqueName="[vw_MonthlyRevenue].[Total_Orders].[All]" allUniqueName="[vw_MonthlyRevenue].[Total_Orders].[All]" dimensionUniqueName="[vw_MonthlyRevenue]" displayFolder="" count="0" memberValueDatatype="20" unbalanced="0"/>
    <cacheHierarchy uniqueName="[vw_MonthlyRevenue].[Total_Products_Sold]" caption="Total_Products_Sold" attribute="1" defaultMemberUniqueName="[vw_MonthlyRevenue].[Total_Products_Sold].[All]" allUniqueName="[vw_MonthlyRevenue].[Total_Products_Sold].[All]" dimensionUniqueName="[vw_MonthlyRevenue]" displayFolder="" count="0" memberValueDatatype="20" unbalanced="0"/>
    <cacheHierarchy uniqueName="[vw_MonthlyRevenue].[Total_Revenue]" caption="Total_Revenue" attribute="1" defaultMemberUniqueName="[vw_MonthlyRevenue].[Total_Revenue].[All]" allUniqueName="[vw_MonthlyRevenue].[Total_Revenue].[All]" dimensionUniqueName="[vw_MonthlyRevenue]" displayFolder="" count="0" memberValueDatatype="5" unbalanced="0"/>
    <cacheHierarchy uniqueName="[vw_MonthlyRevenue].[Total_Profit]" caption="Total_Profit" attribute="1" defaultMemberUniqueName="[vw_MonthlyRevenue].[Total_Profit].[All]" allUniqueName="[vw_MonthlyRevenue].[Total_Profit].[All]" dimensionUniqueName="[vw_MonthlyRevenue]" displayFolder="" count="0" memberValueDatatype="5" unbalanced="0"/>
    <cacheHierarchy uniqueName="[vw_ProductRevenue].[ProductID]" caption="ProductID" attribute="1" defaultMemberUniqueName="[vw_ProductRevenue].[ProductID].[All]" allUniqueName="[vw_ProductRevenue].[ProductID].[All]" dimensionUniqueName="[vw_ProductRevenue]" displayFolder="" count="0" memberValueDatatype="20" unbalanced="0"/>
    <cacheHierarchy uniqueName="[vw_ProductRevenue].[ProductName]" caption="ProductName" attribute="1" defaultMemberUniqueName="[vw_ProductRevenue].[ProductName].[All]" allUniqueName="[vw_ProductRevenue].[ProductName].[All]" dimensionUniqueName="[vw_ProductRevenue]" displayFolder="" count="2" memberValueDatatype="130" unbalanced="0">
      <fieldsUsage count="2">
        <fieldUsage x="-1"/>
        <fieldUsage x="2"/>
      </fieldsUsage>
    </cacheHierarchy>
    <cacheHierarchy uniqueName="[vw_ProductRevenue].[CategoryName]" caption="CategoryName" attribute="1" defaultMemberUniqueName="[vw_ProductRevenue].[CategoryName].[All]" allUniqueName="[vw_ProductRevenue].[CategoryName].[All]" dimensionUniqueName="[vw_ProductRevenue]" displayFolder="" count="0" memberValueDatatype="130" unbalanced="0"/>
    <cacheHierarchy uniqueName="[vw_ProductRevenue].[Total_Quantity_Sold]" caption="Total_Quantity_Sold" attribute="1" defaultMemberUniqueName="[vw_ProductRevenue].[Total_Quantity_Sold].[All]" allUniqueName="[vw_ProductRevenue].[Total_Quantity_Sold].[All]" dimensionUniqueName="[vw_ProductRevenue]" displayFolder="" count="0" memberValueDatatype="20" unbalanced="0"/>
    <cacheHierarchy uniqueName="[vw_ProductRevenue].[Total_Revenue]" caption="Total_Revenue" attribute="1" defaultMemberUniqueName="[vw_ProductRevenue].[Total_Revenue].[All]" allUniqueName="[vw_ProductRevenue].[Total_Revenue].[All]" dimensionUniqueName="[vw_ProductRevenue]" displayFolder="" count="0" memberValueDatatype="5" unbalanced="0"/>
    <cacheHierarchy uniqueName="[Measures].[__XL_Count vw_CategoryRevenue]" caption="__XL_Count vw_CategoryRevenue" measure="1" displayFolder="" measureGroup="vw_CategoryRevenue" count="0" hidden="1"/>
    <cacheHierarchy uniqueName="[Measures].[__XL_Count vw_CustomerRevenue]" caption="__XL_Count vw_CustomerRevenue" measure="1" displayFolder="" measureGroup="vw_CustomerRevenue" count="0" hidden="1"/>
    <cacheHierarchy uniqueName="[Measures].[__XL_Count vw_EmployeePerformance]" caption="__XL_Count vw_EmployeePerformance" measure="1" displayFolder="" measureGroup="vw_EmployeePerformance" count="0" hidden="1"/>
    <cacheHierarchy uniqueName="[Measures].[__XL_Count vw_MonthlyRevenue]" caption="__XL_Count vw_MonthlyRevenue" measure="1" displayFolder="" measureGroup="vw_MonthlyRevenue" count="0" hidden="1"/>
    <cacheHierarchy uniqueName="[Measures].[__XL_Count vw_ProductRevenue]" caption="__XL_Count vw_ProductRevenue" measure="1" displayFolder="" measureGroup="vw_ProductRevenue" count="0" hidden="1"/>
    <cacheHierarchy uniqueName="[Measures].[__No measures defined]" caption="__No measures defined" measure="1" displayFolder="" count="0" hidden="1"/>
    <cacheHierarchy uniqueName="[Measures].[Sum of Total_Revenue]" caption="Sum of Total_Revenue" measure="1" displayFolder="" measureGroup="vw_MonthlyRevenu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Total_Profit]" caption="Sum of Total_Profit" measure="1" displayFolder="" measureGroup="vw_MonthlyRevenue" count="0" hidden="1">
      <extLst>
        <ext xmlns:x15="http://schemas.microsoft.com/office/spreadsheetml/2010/11/main" uri="{B97F6D7D-B522-45F9-BDA1-12C45D357490}">
          <x15:cacheHierarchy aggregatedColumn="21"/>
        </ext>
      </extLst>
    </cacheHierarchy>
    <cacheHierarchy uniqueName="[Measures].[Sum of Total_Orders]" caption="Sum of Total_Orders" measure="1" displayFolder="" measureGroup="vw_MonthlyRevenue" count="0" hidden="1">
      <extLst>
        <ext xmlns:x15="http://schemas.microsoft.com/office/spreadsheetml/2010/11/main" uri="{B97F6D7D-B522-45F9-BDA1-12C45D357490}">
          <x15:cacheHierarchy aggregatedColumn="18"/>
        </ext>
      </extLst>
    </cacheHierarchy>
    <cacheHierarchy uniqueName="[Measures].[Count of Total_Orders]" caption="Count of Total_Orders" measure="1" displayFolder="" measureGroup="vw_MonthlyRevenue" count="0" hidden="1">
      <extLst>
        <ext xmlns:x15="http://schemas.microsoft.com/office/spreadsheetml/2010/11/main" uri="{B97F6D7D-B522-45F9-BDA1-12C45D357490}">
          <x15:cacheHierarchy aggregatedColumn="18"/>
        </ext>
      </extLst>
    </cacheHierarchy>
    <cacheHierarchy uniqueName="[Measures].[Sum of Total_Products_Sold]" caption="Sum of Total_Products_Sold" measure="1" displayFolder="" measureGroup="vw_MonthlyRevenue" count="0" hidden="1">
      <extLst>
        <ext xmlns:x15="http://schemas.microsoft.com/office/spreadsheetml/2010/11/main" uri="{B97F6D7D-B522-45F9-BDA1-12C45D357490}">
          <x15:cacheHierarchy aggregatedColumn="19"/>
        </ext>
      </extLst>
    </cacheHierarchy>
    <cacheHierarchy uniqueName="[Measures].[Count of Total_Products_Sold]" caption="Count of Total_Products_Sold" measure="1" displayFolder="" measureGroup="vw_MonthlyRevenue"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vw_CustomerRevenue"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vw_CustomerRevenue" count="0" hidden="1">
      <extLst>
        <ext xmlns:x15="http://schemas.microsoft.com/office/spreadsheetml/2010/11/main" uri="{B97F6D7D-B522-45F9-BDA1-12C45D357490}">
          <x15:cacheHierarchy aggregatedColumn="6"/>
        </ext>
      </extLst>
    </cacheHierarchy>
  </cacheHierarchies>
  <kpis count="0"/>
  <dimensions count="6">
    <dimension measure="1" name="Measures" uniqueName="[Measures]" caption="Measures"/>
    <dimension name="vw_CategoryRevenue" uniqueName="[vw_CategoryRevenue]" caption="vw_CategoryRevenue"/>
    <dimension name="vw_CustomerRevenue" uniqueName="[vw_CustomerRevenue]" caption="vw_CustomerRevenue"/>
    <dimension name="vw_EmployeePerformance" uniqueName="[vw_EmployeePerformance]" caption="vw_EmployeePerformance"/>
    <dimension name="vw_MonthlyRevenue" uniqueName="[vw_MonthlyRevenue]" caption="vw_MonthlyRevenue"/>
    <dimension name="vw_ProductRevenue" uniqueName="[vw_ProductRevenue]" caption="vw_ProductRevenue"/>
  </dimensions>
  <measureGroups count="5">
    <measureGroup name="vw_CategoryRevenue" caption="vw_CategoryRevenue"/>
    <measureGroup name="vw_CustomerRevenue" caption="vw_CustomerRevenue"/>
    <measureGroup name="vw_EmployeePerformance" caption="vw_EmployeePerformance"/>
    <measureGroup name="vw_MonthlyRevenue" caption="vw_MonthlyRevenue"/>
    <measureGroup name="vw_ProductRevenue" caption="vw_ProductRevenue"/>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qar" refreshedDate="46209.576891435187" backgroundQuery="1" createdVersion="3" refreshedVersion="7" minRefreshableVersion="3" recordCount="0" supportSubquery="1" supportAdvancedDrill="1" xr:uid="{19BB601F-431A-4FEF-BD4D-0C94D0FC937B}">
  <cacheSource type="external" connectionId="6">
    <extLst>
      <ext xmlns:x14="http://schemas.microsoft.com/office/spreadsheetml/2009/9/main" uri="{F057638F-6D5F-4e77-A914-E7F072B9BCA8}">
        <x14:sourceConnection name="ThisWorkbookDataModel"/>
      </ext>
    </extLst>
  </cacheSource>
  <cacheFields count="0"/>
  <cacheHierarchies count="41">
    <cacheHierarchy uniqueName="[vw_CategoryRevenue].[CategoryID]" caption="CategoryID" attribute="1" defaultMemberUniqueName="[vw_CategoryRevenue].[CategoryID].[All]" allUniqueName="[vw_CategoryRevenue].[CategoryID].[All]" dimensionUniqueName="[vw_CategoryRevenue]" displayFolder="" count="0" memberValueDatatype="20" unbalanced="0"/>
    <cacheHierarchy uniqueName="[vw_CategoryRevenue].[CategoryName]" caption="CategoryName" attribute="1" defaultMemberUniqueName="[vw_CategoryRevenue].[CategoryName].[All]" allUniqueName="[vw_CategoryRevenue].[CategoryName].[All]" dimensionUniqueName="[vw_CategoryRevenue]" displayFolder="" count="2" memberValueDatatype="130" unbalanced="0"/>
    <cacheHierarchy uniqueName="[vw_CategoryRevenue].[Total_Products]" caption="Total_Products" attribute="1" defaultMemberUniqueName="[vw_CategoryRevenue].[Total_Products].[All]" allUniqueName="[vw_CategoryRevenue].[Total_Products].[All]" dimensionUniqueName="[vw_CategoryRevenue]" displayFolder="" count="0" memberValueDatatype="20" unbalanced="0"/>
    <cacheHierarchy uniqueName="[vw_CategoryRevenue].[Total_Quantity_Sold]" caption="Total_Quantity_Sold" attribute="1" defaultMemberUniqueName="[vw_CategoryRevenue].[Total_Quantity_Sold].[All]" allUniqueName="[vw_CategoryRevenue].[Total_Quantity_Sold].[All]" dimensionUniqueName="[vw_CategoryRevenue]" displayFolder="" count="0" memberValueDatatype="20" unbalanced="0"/>
    <cacheHierarchy uniqueName="[vw_CategoryRevenue].[Total_Revenue]" caption="Total_Revenue" attribute="1" defaultMemberUniqueName="[vw_CategoryRevenue].[Total_Revenue].[All]" allUniqueName="[vw_CategoryRevenue].[Total_Revenue].[All]" dimensionUniqueName="[vw_CategoryRevenue]" displayFolder="" count="0" memberValueDatatype="5" unbalanced="0"/>
    <cacheHierarchy uniqueName="[vw_CategoryRevenue].[Total_Profit]" caption="Total_Profit" attribute="1" defaultMemberUniqueName="[vw_CategoryRevenue].[Total_Profit].[All]" allUniqueName="[vw_CategoryRevenue].[Total_Profit].[All]" dimensionUniqueName="[vw_CategoryRevenue]" displayFolder="" count="0" memberValueDatatype="5" unbalanced="0"/>
    <cacheHierarchy uniqueName="[vw_CustomerRevenue].[CustomerID]" caption="CustomerID" attribute="1" defaultMemberUniqueName="[vw_CustomerRevenue].[CustomerID].[All]" allUniqueName="[vw_CustomerRevenue].[CustomerID].[All]" dimensionUniqueName="[vw_CustomerRevenue]" displayFolder="" count="0" memberValueDatatype="20" unbalanced="0"/>
    <cacheHierarchy uniqueName="[vw_CustomerRevenue].[CustomerName]" caption="CustomerName" attribute="1" defaultMemberUniqueName="[vw_CustomerRevenue].[CustomerName].[All]" allUniqueName="[vw_CustomerRevenue].[CustomerName].[All]" dimensionUniqueName="[vw_CustomerRevenue]" displayFolder="" count="0" memberValueDatatype="130" unbalanced="0"/>
    <cacheHierarchy uniqueName="[vw_CustomerRevenue].[Total_Revenue]" caption="Total_Revenue" attribute="1" defaultMemberUniqueName="[vw_CustomerRevenue].[Total_Revenue].[All]" allUniqueName="[vw_CustomerRevenue].[Total_Revenue].[All]" dimensionUniqueName="[vw_CustomerRevenue]" displayFolder="" count="0" memberValueDatatype="5" unbalanced="0"/>
    <cacheHierarchy uniqueName="[vw_EmployeePerformance].[EmployeeID]" caption="EmployeeID" attribute="1" defaultMemberUniqueName="[vw_EmployeePerformance].[EmployeeID].[All]" allUniqueName="[vw_EmployeePerformance].[EmployeeID].[All]" dimensionUniqueName="[vw_EmployeePerformance]" displayFolder="" count="0" memberValueDatatype="20" unbalanced="0"/>
    <cacheHierarchy uniqueName="[vw_EmployeePerformance].[EmployeeName]" caption="EmployeeName" attribute="1" defaultMemberUniqueName="[vw_EmployeePerformance].[EmployeeName].[All]" allUniqueName="[vw_EmployeePerformance].[EmployeeName].[All]" dimensionUniqueName="[vw_EmployeePerformance]" displayFolder="" count="2" memberValueDatatype="130" unbalanced="0"/>
    <cacheHierarchy uniqueName="[vw_EmployeePerformance].[Total_Orders]" caption="Total_Orders" attribute="1" defaultMemberUniqueName="[vw_EmployeePerformance].[Total_Orders].[All]" allUniqueName="[vw_EmployeePerformance].[Total_Orders].[All]" dimensionUniqueName="[vw_EmployeePerformance]" displayFolder="" count="0" memberValueDatatype="20" unbalanced="0"/>
    <cacheHierarchy uniqueName="[vw_EmployeePerformance].[Total_Quantity_Sold]" caption="Total_Quantity_Sold" attribute="1" defaultMemberUniqueName="[vw_EmployeePerformance].[Total_Quantity_Sold].[All]" allUniqueName="[vw_EmployeePerformance].[Total_Quantity_Sold].[All]" dimensionUniqueName="[vw_EmployeePerformance]" displayFolder="" count="0" memberValueDatatype="20" unbalanced="0"/>
    <cacheHierarchy uniqueName="[vw_EmployeePerformance].[Total_Revenue]" caption="Total_Revenue" attribute="1" defaultMemberUniqueName="[vw_EmployeePerformance].[Total_Revenue].[All]" allUniqueName="[vw_EmployeePerformance].[Total_Revenue].[All]" dimensionUniqueName="[vw_EmployeePerformance]" displayFolder="" count="0" memberValueDatatype="5" unbalanced="0"/>
    <cacheHierarchy uniqueName="[vw_EmployeePerformance].[Total_Profit]" caption="Total_Profit" attribute="1" defaultMemberUniqueName="[vw_EmployeePerformance].[Total_Profit].[All]" allUniqueName="[vw_EmployeePerformance].[Total_Profit].[All]" dimensionUniqueName="[vw_EmployeePerformance]" displayFolder="" count="0" memberValueDatatype="5" unbalanced="0"/>
    <cacheHierarchy uniqueName="[vw_MonthlyRevenue].[Order_Year]" caption="Order_Year" attribute="1" defaultMemberUniqueName="[vw_MonthlyRevenue].[Order_Year].[All]" allUniqueName="[vw_MonthlyRevenue].[Order_Year].[All]" dimensionUniqueName="[vw_MonthlyRevenue]" displayFolder="" count="0" memberValueDatatype="20" unbalanced="0"/>
    <cacheHierarchy uniqueName="[vw_MonthlyRevenue].[Order_Month]" caption="Order_Month" attribute="1" defaultMemberUniqueName="[vw_MonthlyRevenue].[Order_Month].[All]" allUniqueName="[vw_MonthlyRevenue].[Order_Month].[All]" dimensionUniqueName="[vw_MonthlyRevenue]" displayFolder="" count="0" memberValueDatatype="20" unbalanced="0"/>
    <cacheHierarchy uniqueName="[vw_MonthlyRevenue].[Month_Name]" caption="Month_Name" attribute="1" defaultMemberUniqueName="[vw_MonthlyRevenue].[Month_Name].[All]" allUniqueName="[vw_MonthlyRevenue].[Month_Name].[All]" dimensionUniqueName="[vw_MonthlyRevenue]" displayFolder="" count="2" memberValueDatatype="130" unbalanced="0"/>
    <cacheHierarchy uniqueName="[vw_MonthlyRevenue].[Total_Orders]" caption="Total_Orders" attribute="1" defaultMemberUniqueName="[vw_MonthlyRevenue].[Total_Orders].[All]" allUniqueName="[vw_MonthlyRevenue].[Total_Orders].[All]" dimensionUniqueName="[vw_MonthlyRevenue]" displayFolder="" count="0" memberValueDatatype="20" unbalanced="0"/>
    <cacheHierarchy uniqueName="[vw_MonthlyRevenue].[Total_Products_Sold]" caption="Total_Products_Sold" attribute="1" defaultMemberUniqueName="[vw_MonthlyRevenue].[Total_Products_Sold].[All]" allUniqueName="[vw_MonthlyRevenue].[Total_Products_Sold].[All]" dimensionUniqueName="[vw_MonthlyRevenue]" displayFolder="" count="0" memberValueDatatype="20" unbalanced="0"/>
    <cacheHierarchy uniqueName="[vw_MonthlyRevenue].[Total_Revenue]" caption="Total_Revenue" attribute="1" defaultMemberUniqueName="[vw_MonthlyRevenue].[Total_Revenue].[All]" allUniqueName="[vw_MonthlyRevenue].[Total_Revenue].[All]" dimensionUniqueName="[vw_MonthlyRevenue]" displayFolder="" count="0" memberValueDatatype="5" unbalanced="0"/>
    <cacheHierarchy uniqueName="[vw_MonthlyRevenue].[Total_Profit]" caption="Total_Profit" attribute="1" defaultMemberUniqueName="[vw_MonthlyRevenue].[Total_Profit].[All]" allUniqueName="[vw_MonthlyRevenue].[Total_Profit].[All]" dimensionUniqueName="[vw_MonthlyRevenue]" displayFolder="" count="0" memberValueDatatype="5" unbalanced="0"/>
    <cacheHierarchy uniqueName="[vw_ProductRevenue].[ProductID]" caption="ProductID" attribute="1" defaultMemberUniqueName="[vw_ProductRevenue].[ProductID].[All]" allUniqueName="[vw_ProductRevenue].[ProductID].[All]" dimensionUniqueName="[vw_ProductRevenue]" displayFolder="" count="0" memberValueDatatype="20" unbalanced="0"/>
    <cacheHierarchy uniqueName="[vw_ProductRevenue].[ProductName]" caption="ProductName" attribute="1" defaultMemberUniqueName="[vw_ProductRevenue].[ProductName].[All]" allUniqueName="[vw_ProductRevenue].[ProductName].[All]" dimensionUniqueName="[vw_ProductRevenue]" displayFolder="" count="0" memberValueDatatype="130" unbalanced="0"/>
    <cacheHierarchy uniqueName="[vw_ProductRevenue].[CategoryName]" caption="CategoryName" attribute="1" defaultMemberUniqueName="[vw_ProductRevenue].[CategoryName].[All]" allUniqueName="[vw_ProductRevenue].[CategoryName].[All]" dimensionUniqueName="[vw_ProductRevenue]" displayFolder="" count="0" memberValueDatatype="130" unbalanced="0"/>
    <cacheHierarchy uniqueName="[vw_ProductRevenue].[Total_Quantity_Sold]" caption="Total_Quantity_Sold" attribute="1" defaultMemberUniqueName="[vw_ProductRevenue].[Total_Quantity_Sold].[All]" allUniqueName="[vw_ProductRevenue].[Total_Quantity_Sold].[All]" dimensionUniqueName="[vw_ProductRevenue]" displayFolder="" count="0" memberValueDatatype="20" unbalanced="0"/>
    <cacheHierarchy uniqueName="[vw_ProductRevenue].[Total_Revenue]" caption="Total_Revenue" attribute="1" defaultMemberUniqueName="[vw_ProductRevenue].[Total_Revenue].[All]" allUniqueName="[vw_ProductRevenue].[Total_Revenue].[All]" dimensionUniqueName="[vw_ProductRevenue]" displayFolder="" count="0" memberValueDatatype="5" unbalanced="0"/>
    <cacheHierarchy uniqueName="[Measures].[__XL_Count vw_CategoryRevenue]" caption="__XL_Count vw_CategoryRevenue" measure="1" displayFolder="" measureGroup="vw_CategoryRevenue" count="0" hidden="1"/>
    <cacheHierarchy uniqueName="[Measures].[__XL_Count vw_CustomerRevenue]" caption="__XL_Count vw_CustomerRevenue" measure="1" displayFolder="" measureGroup="vw_CustomerRevenue" count="0" hidden="1"/>
    <cacheHierarchy uniqueName="[Measures].[__XL_Count vw_EmployeePerformance]" caption="__XL_Count vw_EmployeePerformance" measure="1" displayFolder="" measureGroup="vw_EmployeePerformance" count="0" hidden="1"/>
    <cacheHierarchy uniqueName="[Measures].[__XL_Count vw_MonthlyRevenue]" caption="__XL_Count vw_MonthlyRevenue" measure="1" displayFolder="" measureGroup="vw_MonthlyRevenue" count="0" hidden="1"/>
    <cacheHierarchy uniqueName="[Measures].[__XL_Count vw_ProductRevenue]" caption="__XL_Count vw_ProductRevenue" measure="1" displayFolder="" measureGroup="vw_ProductRevenue" count="0" hidden="1"/>
    <cacheHierarchy uniqueName="[Measures].[__No measures defined]" caption="__No measures defined" measure="1" displayFolder="" count="0" hidden="1"/>
    <cacheHierarchy uniqueName="[Measures].[Sum of Total_Revenue]" caption="Sum of Total_Revenue" measure="1" displayFolder="" measureGroup="vw_MonthlyRevenue" count="0" hidden="1">
      <extLst>
        <ext xmlns:x15="http://schemas.microsoft.com/office/spreadsheetml/2010/11/main" uri="{B97F6D7D-B522-45F9-BDA1-12C45D357490}">
          <x15:cacheHierarchy aggregatedColumn="20"/>
        </ext>
      </extLst>
    </cacheHierarchy>
    <cacheHierarchy uniqueName="[Measures].[Sum of Total_Profit]" caption="Sum of Total_Profit" measure="1" displayFolder="" measureGroup="vw_MonthlyRevenue" count="0" hidden="1">
      <extLst>
        <ext xmlns:x15="http://schemas.microsoft.com/office/spreadsheetml/2010/11/main" uri="{B97F6D7D-B522-45F9-BDA1-12C45D357490}">
          <x15:cacheHierarchy aggregatedColumn="21"/>
        </ext>
      </extLst>
    </cacheHierarchy>
    <cacheHierarchy uniqueName="[Measures].[Sum of Total_Orders]" caption="Sum of Total_Orders" measure="1" displayFolder="" measureGroup="vw_MonthlyRevenue" count="0" hidden="1">
      <extLst>
        <ext xmlns:x15="http://schemas.microsoft.com/office/spreadsheetml/2010/11/main" uri="{B97F6D7D-B522-45F9-BDA1-12C45D357490}">
          <x15:cacheHierarchy aggregatedColumn="18"/>
        </ext>
      </extLst>
    </cacheHierarchy>
    <cacheHierarchy uniqueName="[Measures].[Count of Total_Orders]" caption="Count of Total_Orders" measure="1" displayFolder="" measureGroup="vw_MonthlyRevenue" count="0" hidden="1">
      <extLst>
        <ext xmlns:x15="http://schemas.microsoft.com/office/spreadsheetml/2010/11/main" uri="{B97F6D7D-B522-45F9-BDA1-12C45D357490}">
          <x15:cacheHierarchy aggregatedColumn="18"/>
        </ext>
      </extLst>
    </cacheHierarchy>
    <cacheHierarchy uniqueName="[Measures].[Sum of Total_Products_Sold]" caption="Sum of Total_Products_Sold" measure="1" displayFolder="" measureGroup="vw_MonthlyRevenue" count="0" hidden="1">
      <extLst>
        <ext xmlns:x15="http://schemas.microsoft.com/office/spreadsheetml/2010/11/main" uri="{B97F6D7D-B522-45F9-BDA1-12C45D357490}">
          <x15:cacheHierarchy aggregatedColumn="19"/>
        </ext>
      </extLst>
    </cacheHierarchy>
    <cacheHierarchy uniqueName="[Measures].[Count of Total_Products_Sold]" caption="Count of Total_Products_Sold" measure="1" displayFolder="" measureGroup="vw_MonthlyRevenue" count="0" hidden="1">
      <extLst>
        <ext xmlns:x15="http://schemas.microsoft.com/office/spreadsheetml/2010/11/main" uri="{B97F6D7D-B522-45F9-BDA1-12C45D357490}">
          <x15:cacheHierarchy aggregatedColumn="19"/>
        </ext>
      </extLst>
    </cacheHierarchy>
    <cacheHierarchy uniqueName="[Measures].[Sum of CustomerID]" caption="Sum of CustomerID" measure="1" displayFolder="" measureGroup="vw_CustomerRevenue"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vw_CustomerRevenu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3447328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624AF8-DAE7-4AC5-BC9F-765304D1353B}" name="PivotTable2"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_Profit" fld="0" baseField="0" baseItem="1407024791"/>
  </dataFields>
  <formats count="2">
    <format dxfId="42">
      <pivotArea outline="0" collapsedLevelsAreSubtotals="1" fieldPosition="0"/>
    </format>
    <format dxfId="41">
      <pivotArea outline="0" collapsedLevelsAreSubtotals="1" fieldPosition="0"/>
    </format>
  </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Revenue"/>
    <pivotHierarchy dragToData="1" caption="Total_Profi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MonthlyRe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94FFAD-DAFB-4338-82FA-3488C14CFCF5}" name="PivotTable1"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_Revenue" fld="0" baseField="0" baseItem="1407024791" numFmtId="164"/>
  </dataFields>
  <formats count="2">
    <format dxfId="43">
      <pivotArea outline="0" collapsedLevelsAreSubtotals="1" fieldPosition="0"/>
    </format>
    <format dxfId="9">
      <pivotArea outline="0" collapsedLevelsAreSubtotals="1" fieldPosition="0"/>
    </format>
  </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MonthlyRe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1A2009-8293-48E4-8996-EF0B77A87546}" name="PivotTable6" cacheId="6"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10" rowHeaderCaption="Months">
  <location ref="A6:B18"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2">
    <i>
      <x/>
    </i>
    <i>
      <x v="1"/>
    </i>
    <i>
      <x v="2"/>
    </i>
    <i>
      <x v="3"/>
    </i>
    <i>
      <x v="4"/>
    </i>
    <i>
      <x v="5"/>
    </i>
    <i>
      <x v="6"/>
    </i>
    <i>
      <x v="7"/>
    </i>
    <i>
      <x v="8"/>
    </i>
    <i>
      <x v="9"/>
    </i>
    <i>
      <x v="10"/>
    </i>
    <i>
      <x v="11"/>
    </i>
  </rowItems>
  <colItems count="1">
    <i/>
  </colItems>
  <dataFields count="1">
    <dataField name="Total_Revenue" fld="0" baseField="0" baseItem="1407024791" numFmtId="1"/>
  </dataFields>
  <formats count="10">
    <format dxfId="46">
      <pivotArea collapsedLevelsAreSubtotals="1" fieldPosition="0">
        <references count="1">
          <reference field="1" count="1">
            <x v="0"/>
          </reference>
        </references>
      </pivotArea>
    </format>
    <format dxfId="45">
      <pivotArea outline="0" collapsedLevelsAreSubtotals="1" fieldPosition="0"/>
    </format>
    <format dxfId="44">
      <pivotArea dataOnly="0" labelOnly="1" outline="0" axis="axisValues" fieldPosition="0"/>
    </format>
    <format dxfId="8">
      <pivotArea type="all" dataOnly="0" outline="0" fieldPosition="0"/>
    </format>
    <format dxfId="7">
      <pivotArea outline="0" collapsedLevelsAreSubtotals="1" fieldPosition="0"/>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axis="axisValues" fieldPosition="0"/>
    </format>
    <format dxfId="2">
      <pivotArea field="1" type="button" dataOnly="0" labelOnly="1" outline="0" axis="axisRow" fieldPosition="0"/>
    </format>
    <format dxfId="1">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MonthlyRe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15DD32-733D-4EDC-A244-739EF2357419}" name="PivotTable5"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1:I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_Customer" fld="0" subtotal="count" baseField="0" baseItem="0"/>
  </dataFields>
  <formats count="5">
    <format dxfId="49">
      <pivotArea type="all" dataOnly="0" outline="0" fieldPosition="0"/>
    </format>
    <format dxfId="48">
      <pivotArea outline="0" collapsedLevelsAreSubtotals="1" fieldPosition="0"/>
    </format>
    <format dxfId="47">
      <pivotArea dataOnly="0" labelOnly="1" outline="0" axis="axisValues" fieldPosition="0"/>
    </format>
    <format dxfId="38">
      <pivotArea outline="0" collapsedLevelsAreSubtotals="1" fieldPosition="0"/>
    </format>
    <format dxfId="37">
      <pivotArea outline="0" collapsedLevelsAreSubtotals="1" fieldPosition="0"/>
    </format>
  </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Revenue"/>
    <pivotHierarchy dragToData="1" caption="Total_Profit"/>
    <pivotHierarchy dragToData="1"/>
    <pivotHierarchy dragToData="1"/>
    <pivotHierarchy dragToData="1"/>
    <pivotHierarchy dragToData="1" caption="Total_Products_Sold"/>
    <pivotHierarchy dragToData="1"/>
    <pivotHierarchy dragToData="1" caption="Total_Customer"/>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MonthlyRevenue]"/>
        <x15:activeTabTopLevelEntity name="[vw_CustomerRe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87F5D0-E702-490C-B1CD-FE6BF43E1398}" name="PivotTable4"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_Products_Sold" fld="0" baseField="0" baseItem="0"/>
  </dataFields>
  <formats count="4">
    <format dxfId="52">
      <pivotArea type="all" dataOnly="0" outline="0" fieldPosition="0"/>
    </format>
    <format dxfId="51">
      <pivotArea outline="0" collapsedLevelsAreSubtotals="1" fieldPosition="0"/>
    </format>
    <format dxfId="50">
      <pivotArea dataOnly="0" labelOnly="1" outline="0" axis="axisValues" fieldPosition="0"/>
    </format>
    <format dxfId="39">
      <pivotArea outline="0" collapsedLevelsAreSubtotals="1" fieldPosition="0"/>
    </format>
  </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Revenue"/>
    <pivotHierarchy dragToData="1" caption="Total_Profit"/>
    <pivotHierarchy dragToData="1"/>
    <pivotHierarchy dragToData="1"/>
    <pivotHierarchy dragToData="1" caption="Total_Products_Sold"/>
    <pivotHierarchy dragToData="1" caption="Total_Products_Sol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MonthlyRe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7315-D214-4748-86B3-6B13B7C1334C}" name="PivotTable9" cacheId="0"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20" rowHeaderCaption="Customer Name">
  <location ref="J6:K1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ascending"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3"/>
  </rowFields>
  <rowItems count="10">
    <i>
      <x/>
    </i>
    <i>
      <x v="1"/>
    </i>
    <i>
      <x v="2"/>
    </i>
    <i>
      <x v="3"/>
    </i>
    <i>
      <x v="4"/>
    </i>
    <i>
      <x v="5"/>
    </i>
    <i>
      <x v="6"/>
    </i>
    <i>
      <x v="7"/>
    </i>
    <i>
      <x v="8"/>
    </i>
    <i>
      <x v="9"/>
    </i>
  </rowItems>
  <colItems count="1">
    <i/>
  </colItems>
  <dataFields count="1">
    <dataField name="Total_Revenue" fld="0" baseField="0" baseItem="1407024791" numFmtId="1"/>
  </dataFields>
  <formats count="9">
    <format dxfId="54">
      <pivotArea outline="0" collapsedLevelsAreSubtotals="1" fieldPosition="0"/>
    </format>
    <format dxfId="53">
      <pivotArea dataOnly="0" labelOnly="1" outline="0" axis="axisValues" fieldPosition="0"/>
    </format>
    <format dxfId="30">
      <pivotArea field="3" type="button" dataOnly="0" labelOnly="1" outline="0" axis="axisRow" fieldPosition="0"/>
    </format>
    <format dxfId="29">
      <pivotArea dataOnly="0" labelOnly="1" outline="0" axis="axisValues" fieldPosition="0"/>
    </format>
    <format dxfId="15">
      <pivotArea type="all" dataOnly="0" outline="0" fieldPosition="0"/>
    </format>
    <format dxfId="14">
      <pivotArea outline="0" collapsedLevelsAreSubtotals="1" fieldPosition="0"/>
    </format>
    <format dxfId="13">
      <pivotArea field="3" type="button" dataOnly="0" labelOnly="1" outline="0" axis="axisRow" fieldPosition="0"/>
    </format>
    <format dxfId="12">
      <pivotArea dataOnly="0" labelOnly="1" fieldPosition="0">
        <references count="1">
          <reference field="3" count="0"/>
        </references>
      </pivotArea>
    </format>
    <format dxfId="11">
      <pivotArea dataOnly="0" labelOnly="1" outline="0" axis="axisValues" fieldPosition="0"/>
    </format>
  </formats>
  <chartFormats count="10">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2" iMeasureHier="33">
      <autoFilter ref="A1">
        <filterColumn colId="0">
          <top10 val="10" filterVal="10"/>
        </filterColumn>
      </autoFilter>
    </filter>
    <filter fld="3" type="count" id="3" iMeasureHier="33">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vw_MonthlyRevenue]"/>
        <x15:activeTabTopLevelEntity name="[vw_CategoryRevenue]"/>
        <x15:activeTabTopLevelEntity name="[vw_ProductRevenue]"/>
        <x15:activeTabTopLevelEntity name="[vw_CustomerRevenue]"/>
        <x15:activeTabTopLevelEntity name="[vw_Employee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E6B23B-AD76-41E5-B661-A16CF88D5CA5}" name="PivotTable8" cacheId="8"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17" rowHeaderCaption="Product Name">
  <location ref="G6:H1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ascending" defaultSubtotal="0" defaultAttributeDrillState="1">
      <items count="10">
        <item x="0"/>
        <item x="1"/>
        <item x="2"/>
        <item x="3"/>
        <item x="4"/>
        <item x="5"/>
        <item x="6"/>
        <item x="7"/>
        <item x="8"/>
        <item x="9"/>
      </items>
    </pivotField>
  </pivotFields>
  <rowFields count="1">
    <field x="2"/>
  </rowFields>
  <rowItems count="10">
    <i>
      <x/>
    </i>
    <i>
      <x v="1"/>
    </i>
    <i>
      <x v="2"/>
    </i>
    <i>
      <x v="3"/>
    </i>
    <i>
      <x v="4"/>
    </i>
    <i>
      <x v="5"/>
    </i>
    <i>
      <x v="6"/>
    </i>
    <i>
      <x v="7"/>
    </i>
    <i>
      <x v="8"/>
    </i>
    <i>
      <x v="9"/>
    </i>
  </rowItems>
  <colItems count="1">
    <i/>
  </colItems>
  <dataFields count="1">
    <dataField name="Total_Revenue" fld="0" baseField="0" baseItem="1407024791" numFmtId="1"/>
  </dataFields>
  <formats count="9">
    <format dxfId="56">
      <pivotArea outline="0" collapsedLevelsAreSubtotals="1" fieldPosition="0"/>
    </format>
    <format dxfId="55">
      <pivotArea dataOnly="0" labelOnly="1" outline="0" axis="axisValues" fieldPosition="0"/>
    </format>
    <format dxfId="33">
      <pivotArea field="2" type="button" dataOnly="0" labelOnly="1" outline="0" axis="axisRow" fieldPosition="0"/>
    </format>
    <format dxfId="32">
      <pivotArea dataOnly="0" labelOnly="1" outline="0" axis="axisValues" fieldPosition="0"/>
    </format>
    <format dxfId="21">
      <pivotArea type="all" dataOnly="0" outline="0" fieldPosition="0"/>
    </format>
    <format dxfId="20">
      <pivotArea outline="0" collapsedLevelsAreSubtotals="1" fieldPosition="0"/>
    </format>
    <format dxfId="19">
      <pivotArea field="2" type="button" dataOnly="0" labelOnly="1" outline="0" axis="axisRow" fieldPosition="0"/>
    </format>
    <format dxfId="18">
      <pivotArea dataOnly="0" labelOnly="1" fieldPosition="0">
        <references count="1">
          <reference field="2" count="0"/>
        </references>
      </pivotArea>
    </format>
    <format dxfId="17">
      <pivotArea dataOnly="0" labelOnly="1" outline="0" axis="axisValues" fieldPosition="0"/>
    </format>
  </formats>
  <chartFormats count="8">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33">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vw_MonthlyRevenue]"/>
        <x15:activeTabTopLevelEntity name="[vw_CategoryRevenue]"/>
        <x15:activeTabTopLevelEntity name="[vw_ProductRevenue]"/>
        <x15:activeTabTopLevelEntity name="[vw_Employee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E509CF-7918-4F71-926A-0DB3A3908B8C}" name="PivotTable3"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_Orders" fld="0" baseField="0" baseItem="1407024791"/>
  </dataFields>
  <formats count="4">
    <format dxfId="59">
      <pivotArea type="all" dataOnly="0" outline="0" fieldPosition="0"/>
    </format>
    <format dxfId="58">
      <pivotArea dataOnly="0" labelOnly="1" outline="0" axis="axisValues" fieldPosition="0"/>
    </format>
    <format dxfId="57">
      <pivotArea outline="0" collapsedLevelsAreSubtotals="1" fieldPosition="0"/>
    </format>
    <format dxfId="40">
      <pivotArea outline="0" collapsedLevelsAreSubtotals="1" fieldPosition="0"/>
    </format>
  </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Revenue"/>
    <pivotHierarchy dragToData="1" caption="Total_Profit"/>
    <pivotHierarchy dragToData="1" caption="Total_Orders"/>
    <pivotHierarchy dragToData="1" caption="Total_Order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w_MonthlyRe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DA218D-6472-424F-B029-2C9BFB5F2EDB}" name="PivotTable7" cacheId="7"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14" rowHeaderCaption="Categories">
  <location ref="D6:E1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9">
        <item x="0"/>
        <item x="1"/>
        <item x="2"/>
        <item x="3"/>
        <item x="4"/>
        <item x="5"/>
        <item x="6"/>
        <item x="7"/>
        <item x="8"/>
      </items>
    </pivotField>
  </pivotFields>
  <rowFields count="1">
    <field x="2"/>
  </rowFields>
  <rowItems count="9">
    <i>
      <x/>
    </i>
    <i>
      <x v="1"/>
    </i>
    <i>
      <x v="2"/>
    </i>
    <i>
      <x v="3"/>
    </i>
    <i>
      <x v="4"/>
    </i>
    <i>
      <x v="5"/>
    </i>
    <i>
      <x v="6"/>
    </i>
    <i>
      <x v="7"/>
    </i>
    <i>
      <x v="8"/>
    </i>
  </rowItems>
  <colItems count="1">
    <i/>
  </colItems>
  <dataFields count="1">
    <dataField name="Total_Revenue" fld="0" baseField="0" baseItem="1407024791" numFmtId="165"/>
  </dataFields>
  <formats count="9">
    <format dxfId="61">
      <pivotArea outline="0" collapsedLevelsAreSubtotals="1" fieldPosition="0"/>
    </format>
    <format dxfId="60">
      <pivotArea dataOnly="0" labelOnly="1" outline="0" axis="axisValues" fieldPosition="0"/>
    </format>
    <format dxfId="36">
      <pivotArea field="2" type="button" dataOnly="0" labelOnly="1" outline="0" axis="axisRow" fieldPosition="0"/>
    </format>
    <format dxfId="35">
      <pivotArea dataOnly="0" labelOnly="1" outline="0" axis="axisValues" fieldPosition="0"/>
    </format>
    <format dxfId="27">
      <pivotArea type="all" dataOnly="0" outline="0" fieldPosition="0"/>
    </format>
    <format dxfId="26">
      <pivotArea outline="0" collapsedLevelsAreSubtotals="1" fieldPosition="0"/>
    </format>
    <format dxfId="25">
      <pivotArea field="2" type="button" dataOnly="0" labelOnly="1" outline="0" axis="axisRow" fieldPosition="0"/>
    </format>
    <format dxfId="24">
      <pivotArea dataOnly="0" labelOnly="1" fieldPosition="0">
        <references count="1">
          <reference field="2" count="0"/>
        </references>
      </pivotArea>
    </format>
    <format dxfId="23">
      <pivotArea dataOnly="0" labelOnly="1" outline="0" axis="axisValues" fieldPosition="0"/>
    </format>
  </formats>
  <chartFormats count="15">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0"/>
          </reference>
        </references>
      </pivotArea>
    </chartFormat>
    <chartFormat chart="13" format="12">
      <pivotArea type="data" outline="0" fieldPosition="0">
        <references count="2">
          <reference field="4294967294" count="1" selected="0">
            <x v="0"/>
          </reference>
          <reference field="2" count="1" selected="0">
            <x v="0"/>
          </reference>
        </references>
      </pivotArea>
    </chartFormat>
    <chartFormat chart="13" format="13">
      <pivotArea type="data" outline="0" fieldPosition="0">
        <references count="2">
          <reference field="4294967294" count="1" selected="0">
            <x v="0"/>
          </reference>
          <reference field="2" count="1" selected="0">
            <x v="1"/>
          </reference>
        </references>
      </pivotArea>
    </chartFormat>
    <chartFormat chart="13" format="14">
      <pivotArea type="data" outline="0" fieldPosition="0">
        <references count="2">
          <reference field="4294967294" count="1" selected="0">
            <x v="0"/>
          </reference>
          <reference field="2" count="1" selected="0">
            <x v="2"/>
          </reference>
        </references>
      </pivotArea>
    </chartFormat>
    <chartFormat chart="13" format="15">
      <pivotArea type="data" outline="0" fieldPosition="0">
        <references count="2">
          <reference field="4294967294" count="1" selected="0">
            <x v="0"/>
          </reference>
          <reference field="2" count="1" selected="0">
            <x v="3"/>
          </reference>
        </references>
      </pivotArea>
    </chartFormat>
    <chartFormat chart="13" format="16">
      <pivotArea type="data" outline="0" fieldPosition="0">
        <references count="2">
          <reference field="4294967294" count="1" selected="0">
            <x v="0"/>
          </reference>
          <reference field="2" count="1" selected="0">
            <x v="4"/>
          </reference>
        </references>
      </pivotArea>
    </chartFormat>
    <chartFormat chart="13" format="17">
      <pivotArea type="data" outline="0" fieldPosition="0">
        <references count="2">
          <reference field="4294967294" count="1" selected="0">
            <x v="0"/>
          </reference>
          <reference field="2" count="1" selected="0">
            <x v="5"/>
          </reference>
        </references>
      </pivotArea>
    </chartFormat>
    <chartFormat chart="13" format="18">
      <pivotArea type="data" outline="0" fieldPosition="0">
        <references count="2">
          <reference field="4294967294" count="1" selected="0">
            <x v="0"/>
          </reference>
          <reference field="2" count="1" selected="0">
            <x v="6"/>
          </reference>
        </references>
      </pivotArea>
    </chartFormat>
    <chartFormat chart="13" format="19">
      <pivotArea type="data" outline="0" fieldPosition="0">
        <references count="2">
          <reference field="4294967294" count="1" selected="0">
            <x v="0"/>
          </reference>
          <reference field="2" count="1" selected="0">
            <x v="7"/>
          </reference>
        </references>
      </pivotArea>
    </chartFormat>
    <chartFormat chart="13" format="20">
      <pivotArea type="data" outline="0" fieldPosition="0">
        <references count="2">
          <reference field="4294967294" count="1" selected="0">
            <x v="0"/>
          </reference>
          <reference field="2" count="1" selected="0">
            <x v="8"/>
          </reference>
        </references>
      </pivotArea>
    </chartFormat>
  </chartFormats>
  <pivotHierarchies count="4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_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vw_MonthlyRevenue]"/>
        <x15:activeTabTopLevelEntity name="[vw_CategoryRevenu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Name" xr10:uid="{086DB8D0-9719-420A-AC19-5B5FD72EDFA3}" sourceName="[vw_EmployeePerformance].[EmployeeName]">
  <pivotTables>
    <pivotTable tabId="1" name="PivotTable9"/>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data>
    <olap pivotCacheId="1344732892">
      <levels count="2">
        <level uniqueName="[vw_EmployeePerformance].[EmployeeName].[(All)]" sourceCaption="(All)" count="0"/>
        <level uniqueName="[vw_EmployeePerformance].[EmployeeName].[EmployeeName]" sourceCaption="EmployeeName" count="15">
          <ranges>
            <range startItem="0">
              <i n="[vw_EmployeePerformance].[EmployeeName].&amp;[Abhishek Verma]" c="Abhishek Verma"/>
              <i n="[vw_EmployeePerformance].[EmployeeName].&amp;[Aisha Khan]" c="Aisha Khan"/>
              <i n="[vw_EmployeePerformance].[EmployeeName].&amp;[Aman Sharma]" c="Aman Sharma"/>
              <i n="[vw_EmployeePerformance].[EmployeeName].&amp;[Arjun Mehta]" c="Arjun Mehta"/>
              <i n="[vw_EmployeePerformance].[EmployeeName].&amp;[Deepak Kumar]" c="Deepak Kumar"/>
              <i n="[vw_EmployeePerformance].[EmployeeName].&amp;[Karan Malhotra]" c="Karan Malhotra"/>
              <i n="[vw_EmployeePerformance].[EmployeeName].&amp;[Megha Sharma]" c="Megha Sharma"/>
              <i n="[vw_EmployeePerformance].[EmployeeName].&amp;[Neha Verma]" c="Neha Verma"/>
              <i n="[vw_EmployeePerformance].[EmployeeName].&amp;[Pooja Sharma]" c="Pooja Sharma"/>
              <i n="[vw_EmployeePerformance].[EmployeeName].&amp;[Priya Kapoor]" c="Priya Kapoor"/>
              <i n="[vw_EmployeePerformance].[EmployeeName].&amp;[Rahul Singh]" c="Rahul Singh"/>
              <i n="[vw_EmployeePerformance].[EmployeeName].&amp;[Ritika Agarwal]" c="Ritika Agarwal"/>
              <i n="[vw_EmployeePerformance].[EmployeeName].&amp;[Saurabh Jain]" c="Saurabh Jain"/>
              <i n="[vw_EmployeePerformance].[EmployeeName].&amp;[Sneha Reddy]" c="Sneha Reddy"/>
              <i n="[vw_EmployeePerformance].[EmployeeName].&amp;[Vikram Joshi]" c="Vikram Joshi"/>
            </range>
          </ranges>
        </level>
      </levels>
      <selections count="1">
        <selection n="[vw_EmployeePerformance].[EmployeeName].[All]"/>
      </selections>
    </olap>
  </data>
  <extLst>
    <x:ext xmlns:x15="http://schemas.microsoft.com/office/spreadsheetml/2010/11/main" uri="{470722E0-AACD-4C17-9CDC-17EF765DBC7E}">
      <x15:slicerCacheHideItemsWithNoData count="1">
        <x15:slicerCacheOlapLevelName uniqueName="[vw_EmployeePerformance].[EmployeeName].[EmployeeNam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FA138E01-A5D8-4820-ADD0-67618DC0C2AE}" sourceName="[vw_CategoryRevenue].[CategoryName]">
  <pivotTables>
    <pivotTable tabId="1" name="PivotTable9"/>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data>
    <olap pivotCacheId="1344732892">
      <levels count="2">
        <level uniqueName="[vw_CategoryRevenue].[CategoryName].[(All)]" sourceCaption="(All)" count="0"/>
        <level uniqueName="[vw_CategoryRevenue].[CategoryName].[CategoryName]" sourceCaption="CategoryName" count="9">
          <ranges>
            <range startItem="0">
              <i n="[vw_CategoryRevenue].[CategoryName].&amp;[Accessories]" c="Accessories"/>
              <i n="[vw_CategoryRevenue].[CategoryName].&amp;[Furniture]" c="Furniture"/>
              <i n="[vw_CategoryRevenue].[CategoryName].&amp;[Laptops]" c="Laptops"/>
              <i n="[vw_CategoryRevenue].[CategoryName].&amp;[Mobiles]" c="Mobiles"/>
              <i n="[vw_CategoryRevenue].[CategoryName].&amp;[Monitors]" c="Monitors"/>
              <i n="[vw_CategoryRevenue].[CategoryName].&amp;[Networking]" c="Networking"/>
              <i n="[vw_CategoryRevenue].[CategoryName].&amp;[Printers]" c="Printers"/>
              <i n="[vw_CategoryRevenue].[CategoryName].&amp;[Storage]" c="Storage"/>
              <i n="[vw_CategoryRevenue].[CategoryName].&amp;[Tablets]" c="Tablets"/>
            </range>
          </ranges>
        </level>
      </levels>
      <selections count="1">
        <selection n="[vw_CategoryRevenue].[CategoryName].[All]"/>
      </selections>
    </olap>
  </data>
  <extLst>
    <x:ext xmlns:x15="http://schemas.microsoft.com/office/spreadsheetml/2010/11/main" uri="{470722E0-AACD-4C17-9CDC-17EF765DBC7E}">
      <x15:slicerCacheHideItemsWithNoData count="1">
        <x15:slicerCacheOlapLevelName uniqueName="[vw_CategoryRevenue].[CategoryName].[CategoryNam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143BFB30-C8BA-4D26-83A8-8DEF050B8A6C}" sourceName="[vw_MonthlyRevenue].[Month_Name]">
  <pivotTables>
    <pivotTable tabId="1" name="PivotTable9"/>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data>
    <olap pivotCacheId="1344732892">
      <levels count="2">
        <level uniqueName="[vw_MonthlyRevenue].[Month_Name].[(All)]" sourceCaption="(All)" count="0"/>
        <level uniqueName="[vw_MonthlyRevenue].[Month_Name].[Month_Name]" sourceCaption="Month_Name" count="12">
          <ranges>
            <range startItem="0">
              <i n="[vw_MonthlyRevenue].[Month_Name].&amp;[April]" c="April"/>
              <i n="[vw_MonthlyRevenue].[Month_Name].&amp;[August]" c="August"/>
              <i n="[vw_MonthlyRevenue].[Month_Name].&amp;[December]" c="December"/>
              <i n="[vw_MonthlyRevenue].[Month_Name].&amp;[February]" c="February"/>
              <i n="[vw_MonthlyRevenue].[Month_Name].&amp;[January]" c="January"/>
              <i n="[vw_MonthlyRevenue].[Month_Name].&amp;[July]" c="July"/>
              <i n="[vw_MonthlyRevenue].[Month_Name].&amp;[June]" c="June"/>
              <i n="[vw_MonthlyRevenue].[Month_Name].&amp;[March]" c="March"/>
              <i n="[vw_MonthlyRevenue].[Month_Name].&amp;[May]" c="May"/>
              <i n="[vw_MonthlyRevenue].[Month_Name].&amp;[November]" c="November"/>
              <i n="[vw_MonthlyRevenue].[Month_Name].&amp;[October]" c="October"/>
              <i n="[vw_MonthlyRevenue].[Month_Name].&amp;[September]" c="September"/>
            </range>
          </ranges>
        </level>
      </levels>
      <selections count="1">
        <selection n="[vw_MonthlyRevenue].[Month_Name].[All]"/>
      </selections>
    </olap>
  </data>
  <extLst>
    <x:ext xmlns:x15="http://schemas.microsoft.com/office/spreadsheetml/2010/11/main" uri="{470722E0-AACD-4C17-9CDC-17EF765DBC7E}">
      <x15:slicerCacheHideItemsWithNoData count="1">
        <x15:slicerCacheOlapLevelName uniqueName="[vw_MonthlyRevenue].[Month_Name].[Month_Name]"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Name 1" xr10:uid="{263C465B-6A0E-48EB-81E9-61E628D58BFC}" cache="Slicer_EmployeeName" caption="Employee" level="1" style="Slicer Style 2" rowHeight="252000"/>
  <slicer name="CategoryName 1" xr10:uid="{D3F860E7-002E-4F30-BB22-646F6947B216}" cache="Slicer_CategoryName" caption="Category" level="1" style="Slicer Style 2" rowHeight="252000"/>
  <slicer name="Month_Name 1" xr10:uid="{FB487835-12BE-402B-91AE-533CE210F67E}" cache="Slicer_Month_Name" caption="Month" startItem="2" level="1" style="Slicer Style 2"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00188-986D-4112-92B5-9FADEF365719}">
  <dimension ref="A1:K18"/>
  <sheetViews>
    <sheetView tabSelected="1" workbookViewId="0">
      <selection activeCell="C24" sqref="C24"/>
    </sheetView>
  </sheetViews>
  <sheetFormatPr defaultRowHeight="15" x14ac:dyDescent="0.25"/>
  <cols>
    <col min="1" max="1" width="20.7109375" customWidth="1"/>
    <col min="2" max="2" width="14.42578125" bestFit="1" customWidth="1"/>
    <col min="3" max="3" width="13.42578125" bestFit="1" customWidth="1"/>
    <col min="4" max="4" width="12.7109375" bestFit="1" customWidth="1"/>
    <col min="5" max="5" width="16.42578125" customWidth="1"/>
    <col min="6" max="6" width="10.28515625" customWidth="1"/>
    <col min="7" max="7" width="25.85546875" bestFit="1" customWidth="1"/>
    <col min="8" max="8" width="14.42578125" bestFit="1" customWidth="1"/>
    <col min="9" max="9" width="15.140625" bestFit="1" customWidth="1"/>
    <col min="10" max="10" width="17.7109375" bestFit="1" customWidth="1"/>
    <col min="11" max="11" width="14.42578125" bestFit="1" customWidth="1"/>
  </cols>
  <sheetData>
    <row r="1" spans="1:11" x14ac:dyDescent="0.25">
      <c r="A1" t="s">
        <v>0</v>
      </c>
      <c r="C1" t="s">
        <v>1</v>
      </c>
      <c r="E1" s="2" t="s">
        <v>2</v>
      </c>
      <c r="G1" s="1" t="s">
        <v>3</v>
      </c>
      <c r="I1" s="1" t="s">
        <v>4</v>
      </c>
    </row>
    <row r="2" spans="1:11" x14ac:dyDescent="0.25">
      <c r="A2" s="34">
        <v>23230122</v>
      </c>
      <c r="C2" s="21">
        <v>4023622</v>
      </c>
      <c r="E2" s="22">
        <v>200</v>
      </c>
      <c r="G2" s="23">
        <v>900</v>
      </c>
      <c r="I2" s="24">
        <v>50</v>
      </c>
    </row>
    <row r="6" spans="1:11" x14ac:dyDescent="0.25">
      <c r="A6" s="35" t="s">
        <v>23</v>
      </c>
      <c r="B6" s="36" t="s">
        <v>0</v>
      </c>
      <c r="D6" s="25" t="s">
        <v>46</v>
      </c>
      <c r="E6" s="26" t="s">
        <v>0</v>
      </c>
      <c r="G6" s="29" t="s">
        <v>45</v>
      </c>
      <c r="H6" s="30" t="s">
        <v>0</v>
      </c>
      <c r="J6" s="32" t="s">
        <v>58</v>
      </c>
      <c r="K6" s="33" t="s">
        <v>0</v>
      </c>
    </row>
    <row r="7" spans="1:11" x14ac:dyDescent="0.25">
      <c r="A7" s="27" t="s">
        <v>15</v>
      </c>
      <c r="B7" s="31">
        <v>2606764</v>
      </c>
      <c r="D7" s="27" t="s">
        <v>24</v>
      </c>
      <c r="E7" s="28">
        <v>23230122</v>
      </c>
      <c r="G7" s="27" t="s">
        <v>35</v>
      </c>
      <c r="H7" s="31">
        <v>23230122</v>
      </c>
      <c r="J7" s="27" t="s">
        <v>48</v>
      </c>
      <c r="K7" s="31">
        <v>23230122</v>
      </c>
    </row>
    <row r="8" spans="1:11" x14ac:dyDescent="0.25">
      <c r="A8" s="27" t="s">
        <v>14</v>
      </c>
      <c r="B8" s="31">
        <v>2448964</v>
      </c>
      <c r="D8" s="27" t="s">
        <v>25</v>
      </c>
      <c r="E8" s="28">
        <v>23230122</v>
      </c>
      <c r="G8" s="27" t="s">
        <v>36</v>
      </c>
      <c r="H8" s="31">
        <v>23230122</v>
      </c>
      <c r="J8" s="27" t="s">
        <v>49</v>
      </c>
      <c r="K8" s="31">
        <v>23230122</v>
      </c>
    </row>
    <row r="9" spans="1:11" x14ac:dyDescent="0.25">
      <c r="A9" s="27" t="s">
        <v>18</v>
      </c>
      <c r="B9" s="31">
        <v>2066925</v>
      </c>
      <c r="D9" s="27" t="s">
        <v>26</v>
      </c>
      <c r="E9" s="28">
        <v>23230122</v>
      </c>
      <c r="G9" s="27" t="s">
        <v>37</v>
      </c>
      <c r="H9" s="31">
        <v>23230122</v>
      </c>
      <c r="J9" s="27" t="s">
        <v>50</v>
      </c>
      <c r="K9" s="31">
        <v>23230122</v>
      </c>
    </row>
    <row r="10" spans="1:11" x14ac:dyDescent="0.25">
      <c r="A10" s="27" t="s">
        <v>11</v>
      </c>
      <c r="B10" s="31">
        <v>862925</v>
      </c>
      <c r="D10" s="27" t="s">
        <v>27</v>
      </c>
      <c r="E10" s="28">
        <v>23230122</v>
      </c>
      <c r="G10" s="27" t="s">
        <v>38</v>
      </c>
      <c r="H10" s="31">
        <v>23230122</v>
      </c>
      <c r="J10" s="27" t="s">
        <v>51</v>
      </c>
      <c r="K10" s="31">
        <v>23230122</v>
      </c>
    </row>
    <row r="11" spans="1:11" x14ac:dyDescent="0.25">
      <c r="A11" s="27" t="s">
        <v>19</v>
      </c>
      <c r="B11" s="31">
        <v>2593858</v>
      </c>
      <c r="D11" s="27" t="s">
        <v>28</v>
      </c>
      <c r="E11" s="28">
        <v>23230122</v>
      </c>
      <c r="G11" s="27" t="s">
        <v>39</v>
      </c>
      <c r="H11" s="31">
        <v>23230122</v>
      </c>
      <c r="J11" s="27" t="s">
        <v>52</v>
      </c>
      <c r="K11" s="31">
        <v>23230122</v>
      </c>
    </row>
    <row r="12" spans="1:11" x14ac:dyDescent="0.25">
      <c r="A12" s="27" t="s">
        <v>17</v>
      </c>
      <c r="B12" s="31">
        <v>2313958</v>
      </c>
      <c r="D12" s="27" t="s">
        <v>29</v>
      </c>
      <c r="E12" s="28">
        <v>23230122</v>
      </c>
      <c r="G12" s="27" t="s">
        <v>40</v>
      </c>
      <c r="H12" s="31">
        <v>23230122</v>
      </c>
      <c r="J12" s="27" t="s">
        <v>53</v>
      </c>
      <c r="K12" s="31">
        <v>23230122</v>
      </c>
    </row>
    <row r="13" spans="1:11" x14ac:dyDescent="0.25">
      <c r="A13" s="27" t="s">
        <v>16</v>
      </c>
      <c r="B13" s="31">
        <v>1982422</v>
      </c>
      <c r="D13" s="27" t="s">
        <v>30</v>
      </c>
      <c r="E13" s="28">
        <v>23230122</v>
      </c>
      <c r="G13" s="27" t="s">
        <v>41</v>
      </c>
      <c r="H13" s="31">
        <v>23230122</v>
      </c>
      <c r="J13" s="27" t="s">
        <v>54</v>
      </c>
      <c r="K13" s="31">
        <v>23230122</v>
      </c>
    </row>
    <row r="14" spans="1:11" x14ac:dyDescent="0.25">
      <c r="A14" s="27" t="s">
        <v>12</v>
      </c>
      <c r="B14" s="31">
        <v>888122</v>
      </c>
      <c r="D14" s="27" t="s">
        <v>31</v>
      </c>
      <c r="E14" s="28">
        <v>23230122</v>
      </c>
      <c r="G14" s="27" t="s">
        <v>42</v>
      </c>
      <c r="H14" s="31">
        <v>23230122</v>
      </c>
      <c r="J14" s="27" t="s">
        <v>55</v>
      </c>
      <c r="K14" s="31">
        <v>23230122</v>
      </c>
    </row>
    <row r="15" spans="1:11" x14ac:dyDescent="0.25">
      <c r="A15" s="27" t="s">
        <v>22</v>
      </c>
      <c r="B15" s="31">
        <v>2448764</v>
      </c>
      <c r="D15" s="27" t="s">
        <v>32</v>
      </c>
      <c r="E15" s="28">
        <v>23230122</v>
      </c>
      <c r="G15" s="27" t="s">
        <v>43</v>
      </c>
      <c r="H15" s="31">
        <v>23230122</v>
      </c>
      <c r="J15" s="27" t="s">
        <v>56</v>
      </c>
      <c r="K15" s="31">
        <v>23230122</v>
      </c>
    </row>
    <row r="16" spans="1:11" x14ac:dyDescent="0.25">
      <c r="A16" s="27" t="s">
        <v>21</v>
      </c>
      <c r="B16" s="31">
        <v>2275964</v>
      </c>
      <c r="G16" s="27" t="s">
        <v>44</v>
      </c>
      <c r="H16" s="31">
        <v>23230122</v>
      </c>
      <c r="J16" s="27" t="s">
        <v>57</v>
      </c>
      <c r="K16" s="31">
        <v>23230122</v>
      </c>
    </row>
    <row r="17" spans="1:2" x14ac:dyDescent="0.25">
      <c r="A17" s="27" t="s">
        <v>20</v>
      </c>
      <c r="B17" s="31">
        <v>1929928</v>
      </c>
    </row>
    <row r="18" spans="1:2" x14ac:dyDescent="0.25">
      <c r="A18" s="27" t="s">
        <v>13</v>
      </c>
      <c r="B18" s="31">
        <v>811528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74B31-6B03-4B29-9582-49BF3E13884E}">
  <dimension ref="B1:O19"/>
  <sheetViews>
    <sheetView showGridLines="0" zoomScale="77" zoomScaleNormal="77" workbookViewId="0">
      <selection activeCell="R7" sqref="R7"/>
    </sheetView>
  </sheetViews>
  <sheetFormatPr defaultRowHeight="15" x14ac:dyDescent="0.25"/>
  <cols>
    <col min="1" max="1" width="3.7109375" customWidth="1"/>
    <col min="2" max="2" width="20.140625" customWidth="1"/>
    <col min="3" max="3" width="5.7109375" customWidth="1"/>
    <col min="4" max="4" width="19.140625" customWidth="1"/>
    <col min="5" max="5" width="5.7109375" customWidth="1"/>
    <col min="6" max="6" width="19.140625" customWidth="1"/>
    <col min="7" max="7" width="5.42578125" customWidth="1"/>
    <col min="8" max="8" width="3.140625" customWidth="1"/>
    <col min="9" max="9" width="19.140625" customWidth="1"/>
    <col min="10" max="10" width="5.7109375" customWidth="1"/>
    <col min="11" max="11" width="19.140625" customWidth="1"/>
    <col min="12" max="12" width="5.7109375" customWidth="1"/>
    <col min="13" max="13" width="19.28515625" customWidth="1"/>
    <col min="14" max="14" width="5.7109375" customWidth="1"/>
    <col min="15" max="15" width="19.140625" customWidth="1"/>
  </cols>
  <sheetData>
    <row r="1" spans="2:15" ht="35.1" customHeight="1" x14ac:dyDescent="0.25">
      <c r="B1" s="17" t="s">
        <v>5</v>
      </c>
      <c r="C1" s="17"/>
      <c r="D1" s="17"/>
      <c r="E1" s="17"/>
      <c r="F1" s="17"/>
      <c r="G1" s="17"/>
      <c r="H1" s="17"/>
      <c r="I1" s="17"/>
      <c r="J1" s="17"/>
      <c r="K1" s="17"/>
      <c r="L1" s="17"/>
      <c r="M1" s="17"/>
      <c r="N1" s="17"/>
      <c r="O1" s="17"/>
    </row>
    <row r="2" spans="2:15" ht="35.1" customHeight="1" x14ac:dyDescent="0.25">
      <c r="B2" s="17"/>
      <c r="C2" s="17"/>
      <c r="D2" s="17"/>
      <c r="E2" s="17"/>
      <c r="F2" s="17"/>
      <c r="G2" s="17"/>
      <c r="H2" s="17"/>
      <c r="I2" s="17"/>
      <c r="J2" s="17"/>
      <c r="K2" s="17"/>
      <c r="L2" s="17"/>
      <c r="M2" s="17"/>
      <c r="N2" s="17"/>
      <c r="O2" s="17"/>
    </row>
    <row r="3" spans="2:15" ht="9.9499999999999993" customHeight="1" x14ac:dyDescent="0.25"/>
    <row r="4" spans="2:15" ht="9.9499999999999993" customHeight="1" x14ac:dyDescent="0.25"/>
    <row r="5" spans="2:15" ht="27.95" customHeight="1" x14ac:dyDescent="0.25">
      <c r="B5" s="5" t="s">
        <v>6</v>
      </c>
      <c r="C5" s="4"/>
      <c r="D5" s="6" t="s">
        <v>7</v>
      </c>
      <c r="F5" s="6" t="s">
        <v>8</v>
      </c>
      <c r="I5" s="6" t="s">
        <v>9</v>
      </c>
      <c r="K5" s="6" t="s">
        <v>10</v>
      </c>
    </row>
    <row r="6" spans="2:15" ht="27.95" customHeight="1" x14ac:dyDescent="0.25">
      <c r="B6" s="9">
        <f>GETPIVOTDATA("[Measures].[Sum of Total_Revenue]",Pivot!$A$1)</f>
        <v>23230122</v>
      </c>
      <c r="C6" s="11"/>
      <c r="D6" s="9">
        <f>GETPIVOTDATA("[Measures].[Sum of Total_Profit]",Pivot!$C$1)</f>
        <v>4023622</v>
      </c>
      <c r="E6" s="12"/>
      <c r="F6" s="10">
        <f>GETPIVOTDATA("[Measures].[Sum of Total_Orders]",Pivot!$E$1)</f>
        <v>200</v>
      </c>
      <c r="G6" s="7"/>
      <c r="H6" s="12"/>
      <c r="I6" s="10">
        <f>GETPIVOTDATA("[Measures].[Count of CustomerID]",Pivot!$I$1)</f>
        <v>50</v>
      </c>
      <c r="J6" s="7"/>
      <c r="K6" s="10">
        <f>GETPIVOTDATA("[Measures].[Sum of Total_Products_Sold]",Pivot!$G$1)</f>
        <v>900</v>
      </c>
      <c r="L6" s="7"/>
      <c r="M6" s="7"/>
    </row>
    <row r="7" spans="2:15" ht="27.95" customHeight="1" x14ac:dyDescent="0.25">
      <c r="B7" s="13" t="s">
        <v>34</v>
      </c>
      <c r="C7" s="13"/>
      <c r="D7" s="13"/>
      <c r="E7" s="13"/>
      <c r="F7" s="13"/>
      <c r="G7" s="14"/>
      <c r="H7" s="8"/>
      <c r="I7" s="18" t="s">
        <v>33</v>
      </c>
      <c r="J7" s="19"/>
      <c r="K7" s="20"/>
      <c r="L7" s="19"/>
      <c r="M7" s="19"/>
    </row>
    <row r="8" spans="2:15" ht="27.95" customHeight="1" x14ac:dyDescent="0.25"/>
    <row r="9" spans="2:15" x14ac:dyDescent="0.25">
      <c r="I9" s="3"/>
    </row>
    <row r="10" spans="2:15" x14ac:dyDescent="0.25">
      <c r="E10" s="3"/>
    </row>
    <row r="18" spans="2:13" ht="3" customHeight="1" x14ac:dyDescent="0.25"/>
    <row r="19" spans="2:13" ht="27" customHeight="1" x14ac:dyDescent="0.25">
      <c r="B19" s="15" t="s">
        <v>47</v>
      </c>
      <c r="C19" s="16"/>
      <c r="D19" s="16"/>
      <c r="E19" s="16"/>
      <c r="F19" s="16"/>
      <c r="G19" s="16"/>
      <c r="I19" s="15" t="s">
        <v>59</v>
      </c>
      <c r="J19" s="16"/>
      <c r="K19" s="16"/>
      <c r="L19" s="16"/>
      <c r="M19" s="16"/>
    </row>
  </sheetData>
  <mergeCells count="5">
    <mergeCell ref="B7:G7"/>
    <mergeCell ref="B19:G19"/>
    <mergeCell ref="I19:M19"/>
    <mergeCell ref="B1:O2"/>
    <mergeCell ref="I7:M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8678C9-3E8B-4BD7-8EBA-2A8C3C70FB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waqar</dc:creator>
  <cp:lastModifiedBy>waqar</cp:lastModifiedBy>
  <dcterms:created xsi:type="dcterms:W3CDTF">2026-07-05T22:21:31Z</dcterms:created>
  <dcterms:modified xsi:type="dcterms:W3CDTF">2026-07-18T21:07:49Z</dcterms:modified>
</cp:coreProperties>
</file>